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ity\Nguyen\Lifelong learning\Good innovative economic for hard times\Project\PBI\Lương\"/>
    </mc:Choice>
  </mc:AlternateContent>
  <xr:revisionPtr revIDLastSave="0" documentId="13_ncr:1_{945AF15D-7986-410F-907F-0712932FB069}" xr6:coauthVersionLast="47" xr6:coauthVersionMax="47" xr10:uidLastSave="{00000000-0000-0000-0000-000000000000}"/>
  <bookViews>
    <workbookView xWindow="-108" yWindow="-108" windowWidth="23256" windowHeight="12456" activeTab="1" xr2:uid="{F4FD71A0-9389-4695-BBAD-BE8EE41BAEFA}"/>
  </bookViews>
  <sheets>
    <sheet name="lương" sheetId="1" r:id="rId1"/>
    <sheet name="tính toán thêm" sheetId="2" r:id="rId2"/>
    <sheet name="viz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  <c r="A2" i="3" s="1"/>
  <c r="E2" i="3" a="1"/>
  <c r="E2" i="3" s="1"/>
  <c r="C2" i="3" a="1"/>
  <c r="C2" i="3" s="1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K102" i="2" a="1"/>
  <c r="K102" i="2" s="1"/>
  <c r="K103" i="2" a="1"/>
  <c r="K103" i="2" s="1"/>
  <c r="K104" i="2" a="1"/>
  <c r="K104" i="2" s="1"/>
  <c r="K105" i="2" a="1"/>
  <c r="K105" i="2" s="1"/>
  <c r="K106" i="2" a="1"/>
  <c r="K106" i="2" s="1"/>
  <c r="K107" i="2" a="1"/>
  <c r="K107" i="2" s="1"/>
  <c r="K108" i="2" a="1"/>
  <c r="K108" i="2" s="1"/>
  <c r="K109" i="2" a="1"/>
  <c r="K109" i="2" s="1"/>
  <c r="K110" i="2" a="1"/>
  <c r="K110" i="2" s="1"/>
  <c r="K111" i="2" a="1"/>
  <c r="K111" i="2" s="1"/>
  <c r="K112" i="2" a="1"/>
  <c r="K112" i="2" s="1"/>
  <c r="K113" i="2" a="1"/>
  <c r="K113" i="2" s="1"/>
  <c r="K114" i="2" a="1"/>
  <c r="K114" i="2" s="1"/>
  <c r="K115" i="2" a="1"/>
  <c r="K115" i="2" s="1"/>
  <c r="K116" i="2" a="1"/>
  <c r="K116" i="2" s="1"/>
  <c r="K117" i="2" a="1"/>
  <c r="K117" i="2" s="1"/>
  <c r="K118" i="2" a="1"/>
  <c r="K118" i="2" s="1"/>
  <c r="K119" i="2" a="1"/>
  <c r="K119" i="2" s="1"/>
  <c r="K120" i="2" a="1"/>
  <c r="K120" i="2" s="1"/>
  <c r="K121" i="2" a="1"/>
  <c r="K121" i="2" s="1"/>
  <c r="K122" i="2" a="1"/>
  <c r="K122" i="2" s="1"/>
  <c r="K123" i="2" a="1"/>
  <c r="K123" i="2" s="1"/>
  <c r="K124" i="2" a="1"/>
  <c r="K124" i="2" s="1"/>
  <c r="K125" i="2" a="1"/>
  <c r="K125" i="2" s="1"/>
  <c r="K126" i="2" a="1"/>
  <c r="K126" i="2" s="1"/>
  <c r="K127" i="2" a="1"/>
  <c r="K127" i="2" s="1"/>
  <c r="K128" i="2" a="1"/>
  <c r="K128" i="2" s="1"/>
  <c r="K129" i="2" a="1"/>
  <c r="K129" i="2" s="1"/>
  <c r="K130" i="2" a="1"/>
  <c r="K130" i="2" s="1"/>
  <c r="K131" i="2" a="1"/>
  <c r="K131" i="2" s="1"/>
  <c r="K132" i="2" a="1"/>
  <c r="K132" i="2" s="1"/>
  <c r="K133" i="2" a="1"/>
  <c r="K133" i="2" s="1"/>
  <c r="K134" i="2" a="1"/>
  <c r="K134" i="2" s="1"/>
  <c r="K135" i="2" a="1"/>
  <c r="K135" i="2" s="1"/>
  <c r="K136" i="2" a="1"/>
  <c r="K136" i="2" s="1"/>
  <c r="K137" i="2" a="1"/>
  <c r="K137" i="2" s="1"/>
  <c r="K138" i="2" a="1"/>
  <c r="K138" i="2" s="1"/>
  <c r="K139" i="2" a="1"/>
  <c r="K139" i="2" s="1"/>
  <c r="K140" i="2" a="1"/>
  <c r="K140" i="2" s="1"/>
  <c r="K141" i="2" a="1"/>
  <c r="K141" i="2" s="1"/>
  <c r="K142" i="2" a="1"/>
  <c r="K142" i="2" s="1"/>
  <c r="K143" i="2" a="1"/>
  <c r="K143" i="2" s="1"/>
  <c r="K144" i="2" a="1"/>
  <c r="K144" i="2" s="1"/>
  <c r="K145" i="2" a="1"/>
  <c r="K145" i="2" s="1"/>
  <c r="K146" i="2" a="1"/>
  <c r="K146" i="2" s="1"/>
  <c r="K147" i="2" a="1"/>
  <c r="K147" i="2" s="1"/>
  <c r="K148" i="2" a="1"/>
  <c r="K148" i="2" s="1"/>
  <c r="K149" i="2" a="1"/>
  <c r="K149" i="2" s="1"/>
  <c r="K150" i="2" a="1"/>
  <c r="K150" i="2" s="1"/>
  <c r="K151" i="2" a="1"/>
  <c r="K151" i="2" s="1"/>
  <c r="K152" i="2" a="1"/>
  <c r="K152" i="2" s="1"/>
  <c r="K153" i="2" a="1"/>
  <c r="K153" i="2" s="1"/>
  <c r="K154" i="2" a="1"/>
  <c r="K154" i="2" s="1"/>
  <c r="K155" i="2" a="1"/>
  <c r="K155" i="2" s="1"/>
  <c r="K156" i="2" a="1"/>
  <c r="K156" i="2" s="1"/>
  <c r="K157" i="2" a="1"/>
  <c r="K157" i="2" s="1"/>
  <c r="K158" i="2" a="1"/>
  <c r="K158" i="2" s="1"/>
  <c r="K159" i="2" a="1"/>
  <c r="K159" i="2" s="1"/>
  <c r="K160" i="2" a="1"/>
  <c r="K160" i="2" s="1"/>
  <c r="K161" i="2" a="1"/>
  <c r="K161" i="2" s="1"/>
  <c r="K162" i="2" a="1"/>
  <c r="K162" i="2" s="1"/>
  <c r="K163" i="2" a="1"/>
  <c r="K163" i="2" s="1"/>
  <c r="K164" i="2" a="1"/>
  <c r="K164" i="2" s="1"/>
  <c r="K165" i="2" a="1"/>
  <c r="K165" i="2" s="1"/>
  <c r="K166" i="2" a="1"/>
  <c r="K166" i="2" s="1"/>
  <c r="K167" i="2" a="1"/>
  <c r="K167" i="2" s="1"/>
  <c r="K168" i="2" a="1"/>
  <c r="K168" i="2" s="1"/>
  <c r="K169" i="2" a="1"/>
  <c r="K169" i="2" s="1"/>
  <c r="K170" i="2" a="1"/>
  <c r="K170" i="2" s="1"/>
  <c r="K171" i="2" a="1"/>
  <c r="K171" i="2" s="1"/>
  <c r="K172" i="2" a="1"/>
  <c r="K172" i="2" s="1"/>
  <c r="K173" i="2" a="1"/>
  <c r="K173" i="2" s="1"/>
  <c r="K174" i="2" a="1"/>
  <c r="K174" i="2" s="1"/>
  <c r="K175" i="2" a="1"/>
  <c r="K175" i="2" s="1"/>
  <c r="K176" i="2" a="1"/>
  <c r="K176" i="2" s="1"/>
  <c r="K177" i="2" a="1"/>
  <c r="K177" i="2" s="1"/>
  <c r="K178" i="2" a="1"/>
  <c r="K178" i="2" s="1"/>
  <c r="K179" i="2" a="1"/>
  <c r="K179" i="2" s="1"/>
  <c r="K180" i="2" a="1"/>
  <c r="K180" i="2" s="1"/>
  <c r="K181" i="2" a="1"/>
  <c r="K181" i="2" s="1"/>
  <c r="K182" i="2" a="1"/>
  <c r="K182" i="2" s="1"/>
  <c r="K183" i="2" a="1"/>
  <c r="K183" i="2" s="1"/>
  <c r="K184" i="2" a="1"/>
  <c r="K184" i="2" s="1"/>
  <c r="K185" i="2" a="1"/>
  <c r="K185" i="2" s="1"/>
  <c r="K186" i="2" a="1"/>
  <c r="K186" i="2" s="1"/>
  <c r="K187" i="2" a="1"/>
  <c r="K187" i="2" s="1"/>
  <c r="K188" i="2" a="1"/>
  <c r="K188" i="2" s="1"/>
  <c r="K189" i="2" a="1"/>
  <c r="K189" i="2" s="1"/>
  <c r="K190" i="2" a="1"/>
  <c r="K190" i="2" s="1"/>
  <c r="K191" i="2" a="1"/>
  <c r="K191" i="2" s="1"/>
  <c r="K192" i="2" a="1"/>
  <c r="K192" i="2" s="1"/>
  <c r="K193" i="2" a="1"/>
  <c r="K193" i="2" s="1"/>
  <c r="K194" i="2" a="1"/>
  <c r="K194" i="2" s="1"/>
  <c r="K195" i="2" a="1"/>
  <c r="K195" i="2" s="1"/>
  <c r="K196" i="2" a="1"/>
  <c r="K196" i="2" s="1"/>
  <c r="K197" i="2" a="1"/>
  <c r="K197" i="2" s="1"/>
  <c r="K198" i="2" a="1"/>
  <c r="K198" i="2" s="1"/>
  <c r="K199" i="2" a="1"/>
  <c r="K199" i="2" s="1"/>
  <c r="K200" i="2" a="1"/>
  <c r="K200" i="2" s="1"/>
  <c r="K201" i="2" a="1"/>
  <c r="K201" i="2" s="1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A1" i="2" a="1"/>
  <c r="A1" i="2" s="1"/>
  <c r="G2" i="2" a="1"/>
  <c r="H4" i="1"/>
  <c r="H5" i="1"/>
  <c r="H6" i="1"/>
  <c r="H7" i="1"/>
  <c r="H8" i="1"/>
  <c r="H3" i="1"/>
  <c r="G4" i="1"/>
  <c r="G5" i="1"/>
  <c r="G6" i="1"/>
  <c r="G7" i="1"/>
  <c r="G8" i="1"/>
  <c r="G3" i="1"/>
  <c r="G2" i="1"/>
  <c r="A2" i="1"/>
  <c r="B4" i="1" s="1"/>
  <c r="C2" i="1" s="1"/>
  <c r="I8" i="1" s="1"/>
  <c r="D1" i="2" l="1" a="1"/>
  <c r="G2" i="2"/>
  <c r="I2" i="2" s="1" a="1"/>
  <c r="H2" i="2" a="1"/>
  <c r="I7" i="1"/>
  <c r="I6" i="1"/>
  <c r="I5" i="1"/>
  <c r="I4" i="1"/>
  <c r="I3" i="1"/>
  <c r="I2" i="1"/>
  <c r="K62" i="2" l="1" a="1"/>
  <c r="K70" i="2" a="1"/>
  <c r="K78" i="2" a="1"/>
  <c r="K86" i="2" a="1"/>
  <c r="K94" i="2" a="1"/>
  <c r="J62" i="2"/>
  <c r="J70" i="2"/>
  <c r="J78" i="2"/>
  <c r="J86" i="2"/>
  <c r="J94" i="2"/>
  <c r="K63" i="2" a="1"/>
  <c r="K71" i="2" a="1"/>
  <c r="K79" i="2" a="1"/>
  <c r="K87" i="2" a="1"/>
  <c r="K95" i="2" a="1"/>
  <c r="J63" i="2"/>
  <c r="J71" i="2"/>
  <c r="J79" i="2"/>
  <c r="J87" i="2"/>
  <c r="J95" i="2"/>
  <c r="K64" i="2" a="1"/>
  <c r="K72" i="2" a="1"/>
  <c r="K80" i="2" a="1"/>
  <c r="K88" i="2" a="1"/>
  <c r="K96" i="2" a="1"/>
  <c r="J64" i="2"/>
  <c r="J72" i="2"/>
  <c r="J80" i="2"/>
  <c r="J88" i="2"/>
  <c r="J96" i="2"/>
  <c r="K83" i="2" a="1"/>
  <c r="K99" i="2" a="1"/>
  <c r="J75" i="2"/>
  <c r="J91" i="2"/>
  <c r="K65" i="2" a="1"/>
  <c r="K73" i="2" a="1"/>
  <c r="K81" i="2" a="1"/>
  <c r="K89" i="2" a="1"/>
  <c r="K97" i="2" a="1"/>
  <c r="J65" i="2"/>
  <c r="J73" i="2"/>
  <c r="J81" i="2"/>
  <c r="J89" i="2"/>
  <c r="J97" i="2"/>
  <c r="K67" i="2" a="1"/>
  <c r="K75" i="2" a="1"/>
  <c r="K91" i="2" a="1"/>
  <c r="J67" i="2"/>
  <c r="J83" i="2"/>
  <c r="J99" i="2"/>
  <c r="J93" i="2"/>
  <c r="K66" i="2" a="1"/>
  <c r="K74" i="2" a="1"/>
  <c r="K82" i="2" a="1"/>
  <c r="K90" i="2" a="1"/>
  <c r="K98" i="2" a="1"/>
  <c r="J66" i="2"/>
  <c r="J74" i="2"/>
  <c r="J82" i="2"/>
  <c r="J90" i="2"/>
  <c r="J98" i="2"/>
  <c r="K68" i="2" a="1"/>
  <c r="K76" i="2" a="1"/>
  <c r="K84" i="2" a="1"/>
  <c r="K92" i="2" a="1"/>
  <c r="K100" i="2" a="1"/>
  <c r="J68" i="2"/>
  <c r="J76" i="2"/>
  <c r="J84" i="2"/>
  <c r="J92" i="2"/>
  <c r="J100" i="2"/>
  <c r="K77" i="2" a="1"/>
  <c r="K85" i="2" a="1"/>
  <c r="K93" i="2" a="1"/>
  <c r="K101" i="2" a="1"/>
  <c r="J69" i="2"/>
  <c r="J77" i="2"/>
  <c r="J85" i="2"/>
  <c r="J101" i="2"/>
  <c r="K69" i="2" a="1"/>
  <c r="K46" i="2" a="1"/>
  <c r="K54" i="2" a="1"/>
  <c r="J42" i="2"/>
  <c r="J50" i="2"/>
  <c r="J58" i="2"/>
  <c r="J45" i="2"/>
  <c r="K50" i="2" a="1"/>
  <c r="J55" i="2"/>
  <c r="K47" i="2" a="1"/>
  <c r="K55" i="2" a="1"/>
  <c r="J43" i="2"/>
  <c r="J51" i="2"/>
  <c r="J59" i="2"/>
  <c r="K52" i="2" a="1"/>
  <c r="K60" i="2" a="1"/>
  <c r="J48" i="2"/>
  <c r="K48" i="2" a="1"/>
  <c r="K56" i="2" a="1"/>
  <c r="J44" i="2"/>
  <c r="J52" i="2"/>
  <c r="J60" i="2"/>
  <c r="K57" i="2" a="1"/>
  <c r="J53" i="2"/>
  <c r="J61" i="2"/>
  <c r="K42" i="2" a="1"/>
  <c r="K58" i="2" a="1"/>
  <c r="J46" i="2"/>
  <c r="K43" i="2" a="1"/>
  <c r="K51" i="2" a="1"/>
  <c r="K45" i="2" a="1"/>
  <c r="K53" i="2" a="1"/>
  <c r="K61" i="2" a="1"/>
  <c r="J49" i="2"/>
  <c r="J57" i="2"/>
  <c r="K49" i="2" a="1"/>
  <c r="J54" i="2"/>
  <c r="K59" i="2" a="1"/>
  <c r="J47" i="2"/>
  <c r="K44" i="2" a="1"/>
  <c r="J56" i="2"/>
  <c r="I2" i="2"/>
  <c r="J2" i="2" s="1"/>
  <c r="J9" i="2"/>
  <c r="J17" i="2"/>
  <c r="J25" i="2"/>
  <c r="J33" i="2"/>
  <c r="J41" i="2"/>
  <c r="J6" i="2"/>
  <c r="J10" i="2"/>
  <c r="J18" i="2"/>
  <c r="J26" i="2"/>
  <c r="J34" i="2"/>
  <c r="J22" i="2"/>
  <c r="J30" i="2"/>
  <c r="J3" i="2"/>
  <c r="J11" i="2"/>
  <c r="J19" i="2"/>
  <c r="J27" i="2"/>
  <c r="J35" i="2"/>
  <c r="J14" i="2"/>
  <c r="J38" i="2"/>
  <c r="J24" i="2"/>
  <c r="J40" i="2"/>
  <c r="J4" i="2"/>
  <c r="J12" i="2"/>
  <c r="J20" i="2"/>
  <c r="J28" i="2"/>
  <c r="J36" i="2"/>
  <c r="J5" i="2"/>
  <c r="J13" i="2"/>
  <c r="J21" i="2"/>
  <c r="J29" i="2"/>
  <c r="J37" i="2"/>
  <c r="J7" i="2"/>
  <c r="J15" i="2"/>
  <c r="J23" i="2"/>
  <c r="J31" i="2"/>
  <c r="J39" i="2"/>
  <c r="J8" i="2"/>
  <c r="J16" i="2"/>
  <c r="J32" i="2"/>
  <c r="H2" i="2"/>
  <c r="V2" i="2" a="1"/>
  <c r="V2" i="2" s="1"/>
  <c r="T2" i="2" a="1"/>
  <c r="T2" i="2" s="1"/>
  <c r="K2" i="2" a="1"/>
  <c r="K3" i="2" a="1"/>
  <c r="K11" i="2" a="1"/>
  <c r="K19" i="2" a="1"/>
  <c r="K27" i="2" a="1"/>
  <c r="K35" i="2" a="1"/>
  <c r="K8" i="2" a="1"/>
  <c r="K24" i="2" a="1"/>
  <c r="K32" i="2" a="1"/>
  <c r="K18" i="2" a="1"/>
  <c r="K4" i="2" a="1"/>
  <c r="K12" i="2" a="1"/>
  <c r="K20" i="2" a="1"/>
  <c r="K28" i="2" a="1"/>
  <c r="K36" i="2" a="1"/>
  <c r="K5" i="2" a="1"/>
  <c r="K13" i="2" a="1"/>
  <c r="K21" i="2" a="1"/>
  <c r="K29" i="2" a="1"/>
  <c r="K37" i="2" a="1"/>
  <c r="K6" i="2" a="1"/>
  <c r="K14" i="2" a="1"/>
  <c r="K22" i="2" a="1"/>
  <c r="K30" i="2" a="1"/>
  <c r="K38" i="2" a="1"/>
  <c r="K10" i="2" a="1"/>
  <c r="K7" i="2" a="1"/>
  <c r="K15" i="2" a="1"/>
  <c r="K23" i="2" a="1"/>
  <c r="K31" i="2" a="1"/>
  <c r="K39" i="2" a="1"/>
  <c r="K25" i="2" a="1"/>
  <c r="K26" i="2" a="1"/>
  <c r="K16" i="2" a="1"/>
  <c r="K40" i="2" a="1"/>
  <c r="K33" i="2" a="1"/>
  <c r="K34" i="2" a="1"/>
  <c r="K9" i="2" a="1"/>
  <c r="K17" i="2" a="1"/>
  <c r="K41" i="2" a="1"/>
  <c r="D1" i="2"/>
  <c r="S102" i="2" s="1" a="1"/>
  <c r="S102" i="2" s="1"/>
  <c r="X102" i="2" s="1"/>
  <c r="J2" i="1" a="1"/>
  <c r="J2" i="1" s="1"/>
  <c r="U102" i="2" l="1"/>
  <c r="W102" i="2" s="1"/>
  <c r="S187" i="2" a="1"/>
  <c r="S187" i="2" s="1"/>
  <c r="X187" i="2" s="1"/>
  <c r="S162" i="2" a="1"/>
  <c r="S162" i="2" s="1"/>
  <c r="X162" i="2" s="1"/>
  <c r="S183" i="2" a="1"/>
  <c r="S183" i="2" s="1"/>
  <c r="X183" i="2" s="1"/>
  <c r="S126" i="2" a="1"/>
  <c r="S126" i="2" s="1"/>
  <c r="X126" i="2" s="1"/>
  <c r="S196" i="2" a="1"/>
  <c r="S196" i="2" s="1"/>
  <c r="X196" i="2" s="1"/>
  <c r="S144" i="2" a="1"/>
  <c r="S144" i="2" s="1"/>
  <c r="X144" i="2" s="1"/>
  <c r="S108" i="2" a="1"/>
  <c r="S108" i="2" s="1"/>
  <c r="X108" i="2" s="1"/>
  <c r="S200" i="2" a="1"/>
  <c r="S200" i="2" s="1"/>
  <c r="X200" i="2" s="1"/>
  <c r="S173" i="2" a="1"/>
  <c r="S173" i="2" s="1"/>
  <c r="X173" i="2" s="1"/>
  <c r="S175" i="2" a="1"/>
  <c r="S175" i="2" s="1"/>
  <c r="X175" i="2" s="1"/>
  <c r="S135" i="2" a="1"/>
  <c r="S135" i="2" s="1"/>
  <c r="X135" i="2" s="1"/>
  <c r="S103" i="2" a="1"/>
  <c r="S103" i="2" s="1"/>
  <c r="X103" i="2" s="1"/>
  <c r="S191" i="2" a="1"/>
  <c r="S191" i="2" s="1"/>
  <c r="X191" i="2" s="1"/>
  <c r="S186" i="2" a="1"/>
  <c r="S186" i="2" s="1"/>
  <c r="X186" i="2" s="1"/>
  <c r="S154" i="2" a="1"/>
  <c r="S154" i="2" s="1"/>
  <c r="X154" i="2" s="1"/>
  <c r="S122" i="2" a="1"/>
  <c r="S122" i="2" s="1"/>
  <c r="X122" i="2" s="1"/>
  <c r="S152" i="2" a="1"/>
  <c r="S152" i="2" s="1"/>
  <c r="X152" i="2" s="1"/>
  <c r="S111" i="2" a="1"/>
  <c r="S111" i="2" s="1"/>
  <c r="X111" i="2" s="1"/>
  <c r="S148" i="2" a="1"/>
  <c r="S148" i="2" s="1"/>
  <c r="X148" i="2" s="1"/>
  <c r="S158" i="2" a="1"/>
  <c r="S158" i="2" s="1"/>
  <c r="X158" i="2" s="1"/>
  <c r="S188" i="2" a="1"/>
  <c r="S188" i="2" s="1"/>
  <c r="X188" i="2" s="1"/>
  <c r="S140" i="2" a="1"/>
  <c r="S140" i="2" s="1"/>
  <c r="X140" i="2" s="1"/>
  <c r="S104" i="2" a="1"/>
  <c r="S104" i="2" s="1"/>
  <c r="X104" i="2" s="1"/>
  <c r="S192" i="2" a="1"/>
  <c r="S192" i="2" s="1"/>
  <c r="X192" i="2" s="1"/>
  <c r="S157" i="2" a="1"/>
  <c r="S157" i="2" s="1"/>
  <c r="X157" i="2" s="1"/>
  <c r="S167" i="2" a="1"/>
  <c r="S167" i="2" s="1"/>
  <c r="X167" i="2" s="1"/>
  <c r="S131" i="2" a="1"/>
  <c r="S131" i="2" s="1"/>
  <c r="X131" i="2" s="1"/>
  <c r="S197" i="2" a="1"/>
  <c r="S197" i="2" s="1"/>
  <c r="X197" i="2" s="1"/>
  <c r="S179" i="2" a="1"/>
  <c r="S179" i="2" s="1"/>
  <c r="X179" i="2" s="1"/>
  <c r="S182" i="2" a="1"/>
  <c r="S182" i="2" s="1"/>
  <c r="X182" i="2" s="1"/>
  <c r="S150" i="2" a="1"/>
  <c r="S150" i="2" s="1"/>
  <c r="X150" i="2" s="1"/>
  <c r="S118" i="2" a="1"/>
  <c r="S118" i="2" s="1"/>
  <c r="X118" i="2" s="1"/>
  <c r="S133" i="2" a="1"/>
  <c r="S133" i="2" s="1"/>
  <c r="X133" i="2" s="1"/>
  <c r="S130" i="2" a="1"/>
  <c r="S130" i="2" s="1"/>
  <c r="X130" i="2" s="1"/>
  <c r="S117" i="2" a="1"/>
  <c r="S117" i="2" s="1"/>
  <c r="X117" i="2" s="1"/>
  <c r="S199" i="2" a="1"/>
  <c r="S199" i="2" s="1"/>
  <c r="X199" i="2" s="1"/>
  <c r="S105" i="2" a="1"/>
  <c r="S105" i="2" s="1"/>
  <c r="X105" i="2" s="1"/>
  <c r="S180" i="2" a="1"/>
  <c r="S180" i="2" s="1"/>
  <c r="X180" i="2" s="1"/>
  <c r="S132" i="2" a="1"/>
  <c r="S132" i="2" s="1"/>
  <c r="X132" i="2" s="1"/>
  <c r="S201" i="2" a="1"/>
  <c r="S201" i="2" s="1"/>
  <c r="X201" i="2" s="1"/>
  <c r="S184" i="2" a="1"/>
  <c r="S184" i="2" s="1"/>
  <c r="X184" i="2" s="1"/>
  <c r="S141" i="2" a="1"/>
  <c r="S141" i="2" s="1"/>
  <c r="X141" i="2" s="1"/>
  <c r="S163" i="2" a="1"/>
  <c r="S163" i="2" s="1"/>
  <c r="X163" i="2" s="1"/>
  <c r="S127" i="2" a="1"/>
  <c r="S127" i="2" s="1"/>
  <c r="X127" i="2" s="1"/>
  <c r="S177" i="2" a="1"/>
  <c r="S177" i="2" s="1"/>
  <c r="X177" i="2" s="1"/>
  <c r="S171" i="2" a="1"/>
  <c r="S171" i="2" s="1"/>
  <c r="X171" i="2" s="1"/>
  <c r="S178" i="2" a="1"/>
  <c r="S178" i="2" s="1"/>
  <c r="X178" i="2" s="1"/>
  <c r="S146" i="2" a="1"/>
  <c r="S146" i="2" s="1"/>
  <c r="X146" i="2" s="1"/>
  <c r="S114" i="2" a="1"/>
  <c r="S114" i="2" s="1"/>
  <c r="X114" i="2" s="1"/>
  <c r="S116" i="2" a="1"/>
  <c r="S116" i="2" s="1"/>
  <c r="X116" i="2" s="1"/>
  <c r="S113" i="2" a="1"/>
  <c r="S113" i="2" s="1"/>
  <c r="X113" i="2" s="1"/>
  <c r="S112" i="2" a="1"/>
  <c r="S112" i="2" s="1"/>
  <c r="X112" i="2" s="1"/>
  <c r="S190" i="2" a="1"/>
  <c r="S190" i="2" s="1"/>
  <c r="X190" i="2" s="1"/>
  <c r="S189" i="2" a="1"/>
  <c r="S189" i="2" s="1"/>
  <c r="X189" i="2" s="1"/>
  <c r="S168" i="2" a="1"/>
  <c r="S168" i="2" s="1"/>
  <c r="X168" i="2" s="1"/>
  <c r="S128" i="2" a="1"/>
  <c r="S128" i="2" s="1"/>
  <c r="X128" i="2" s="1"/>
  <c r="S185" i="2" a="1"/>
  <c r="S185" i="2" s="1"/>
  <c r="X185" i="2" s="1"/>
  <c r="S176" i="2" a="1"/>
  <c r="S176" i="2" s="1"/>
  <c r="X176" i="2" s="1"/>
  <c r="S125" i="2" a="1"/>
  <c r="S125" i="2" s="1"/>
  <c r="X125" i="2" s="1"/>
  <c r="S159" i="2" a="1"/>
  <c r="S159" i="2" s="1"/>
  <c r="X159" i="2" s="1"/>
  <c r="S123" i="2" a="1"/>
  <c r="S123" i="2" s="1"/>
  <c r="X123" i="2" s="1"/>
  <c r="S161" i="2" a="1"/>
  <c r="S161" i="2" s="1"/>
  <c r="X161" i="2" s="1"/>
  <c r="S139" i="2" a="1"/>
  <c r="S139" i="2" s="1"/>
  <c r="X139" i="2" s="1"/>
  <c r="S174" i="2" a="1"/>
  <c r="S174" i="2" s="1"/>
  <c r="X174" i="2" s="1"/>
  <c r="S142" i="2" a="1"/>
  <c r="S142" i="2" s="1"/>
  <c r="X142" i="2" s="1"/>
  <c r="S110" i="2" a="1"/>
  <c r="S110" i="2" s="1"/>
  <c r="X110" i="2" s="1"/>
  <c r="S136" i="2" a="1"/>
  <c r="S136" i="2" s="1"/>
  <c r="X136" i="2" s="1"/>
  <c r="S194" i="2" a="1"/>
  <c r="S194" i="2" s="1"/>
  <c r="X194" i="2" s="1"/>
  <c r="S193" i="2" a="1"/>
  <c r="S193" i="2" s="1"/>
  <c r="X193" i="2" s="1"/>
  <c r="S107" i="2" a="1"/>
  <c r="S107" i="2" s="1"/>
  <c r="X107" i="2" s="1"/>
  <c r="S169" i="2" a="1"/>
  <c r="S169" i="2" s="1"/>
  <c r="X169" i="2" s="1"/>
  <c r="S164" i="2" a="1"/>
  <c r="S164" i="2" s="1"/>
  <c r="X164" i="2" s="1"/>
  <c r="S124" i="2" a="1"/>
  <c r="S124" i="2" s="1"/>
  <c r="X124" i="2" s="1"/>
  <c r="S165" i="2" a="1"/>
  <c r="S165" i="2" s="1"/>
  <c r="X165" i="2" s="1"/>
  <c r="S172" i="2" a="1"/>
  <c r="S172" i="2" s="1"/>
  <c r="X172" i="2" s="1"/>
  <c r="S109" i="2" a="1"/>
  <c r="S109" i="2" s="1"/>
  <c r="X109" i="2" s="1"/>
  <c r="S155" i="2" a="1"/>
  <c r="S155" i="2" s="1"/>
  <c r="X155" i="2" s="1"/>
  <c r="S119" i="2" a="1"/>
  <c r="S119" i="2" s="1"/>
  <c r="X119" i="2" s="1"/>
  <c r="S145" i="2" a="1"/>
  <c r="S145" i="2" s="1"/>
  <c r="X145" i="2" s="1"/>
  <c r="S181" i="2" a="1"/>
  <c r="S181" i="2" s="1"/>
  <c r="X181" i="2" s="1"/>
  <c r="S170" i="2" a="1"/>
  <c r="S170" i="2" s="1"/>
  <c r="X170" i="2" s="1"/>
  <c r="S138" i="2" a="1"/>
  <c r="S138" i="2" s="1"/>
  <c r="X138" i="2" s="1"/>
  <c r="S106" i="2" a="1"/>
  <c r="S106" i="2" s="1"/>
  <c r="X106" i="2" s="1"/>
  <c r="S137" i="2" a="1"/>
  <c r="S137" i="2" s="1"/>
  <c r="X137" i="2" s="1"/>
  <c r="S147" i="2" a="1"/>
  <c r="S147" i="2" s="1"/>
  <c r="X147" i="2" s="1"/>
  <c r="S121" i="2" a="1"/>
  <c r="S121" i="2" s="1"/>
  <c r="X121" i="2" s="1"/>
  <c r="S143" i="2" a="1"/>
  <c r="S143" i="2" s="1"/>
  <c r="X143" i="2" s="1"/>
  <c r="S153" i="2" a="1"/>
  <c r="S153" i="2" s="1"/>
  <c r="X153" i="2" s="1"/>
  <c r="S156" i="2" a="1"/>
  <c r="S156" i="2" s="1"/>
  <c r="X156" i="2" s="1"/>
  <c r="S120" i="2" a="1"/>
  <c r="S120" i="2" s="1"/>
  <c r="X120" i="2" s="1"/>
  <c r="S149" i="2" a="1"/>
  <c r="S149" i="2" s="1"/>
  <c r="X149" i="2" s="1"/>
  <c r="S160" i="2" a="1"/>
  <c r="S160" i="2" s="1"/>
  <c r="X160" i="2" s="1"/>
  <c r="S195" i="2" a="1"/>
  <c r="S195" i="2" s="1"/>
  <c r="X195" i="2" s="1"/>
  <c r="S151" i="2" a="1"/>
  <c r="S151" i="2" s="1"/>
  <c r="X151" i="2" s="1"/>
  <c r="S115" i="2" a="1"/>
  <c r="S115" i="2" s="1"/>
  <c r="X115" i="2" s="1"/>
  <c r="S129" i="2" a="1"/>
  <c r="S129" i="2" s="1"/>
  <c r="X129" i="2" s="1"/>
  <c r="S198" i="2" a="1"/>
  <c r="S198" i="2" s="1"/>
  <c r="X198" i="2" s="1"/>
  <c r="S166" i="2" a="1"/>
  <c r="S166" i="2" s="1"/>
  <c r="X166" i="2" s="1"/>
  <c r="S134" i="2" a="1"/>
  <c r="S134" i="2" s="1"/>
  <c r="X134" i="2" s="1"/>
  <c r="K69" i="2"/>
  <c r="R69" i="2"/>
  <c r="K88" i="2"/>
  <c r="R88" i="2"/>
  <c r="K76" i="2"/>
  <c r="R76" i="2"/>
  <c r="K90" i="2"/>
  <c r="R90" i="2"/>
  <c r="K91" i="2"/>
  <c r="R91" i="2"/>
  <c r="K80" i="2"/>
  <c r="R80" i="2"/>
  <c r="K95" i="2"/>
  <c r="R95" i="2"/>
  <c r="K68" i="2"/>
  <c r="R68" i="2"/>
  <c r="K82" i="2"/>
  <c r="R82" i="2"/>
  <c r="K75" i="2"/>
  <c r="R75" i="2"/>
  <c r="K89" i="2"/>
  <c r="R89" i="2"/>
  <c r="K72" i="2"/>
  <c r="R72" i="2"/>
  <c r="K87" i="2"/>
  <c r="R87" i="2"/>
  <c r="K74" i="2"/>
  <c r="R74" i="2"/>
  <c r="K67" i="2"/>
  <c r="R67" i="2"/>
  <c r="K81" i="2"/>
  <c r="R81" i="2"/>
  <c r="K64" i="2"/>
  <c r="R64" i="2"/>
  <c r="K79" i="2"/>
  <c r="R79" i="2"/>
  <c r="K94" i="2"/>
  <c r="R94" i="2"/>
  <c r="K66" i="2"/>
  <c r="R66" i="2" s="1"/>
  <c r="K73" i="2"/>
  <c r="R73" i="2"/>
  <c r="K71" i="2"/>
  <c r="R71" i="2" s="1"/>
  <c r="K86" i="2"/>
  <c r="R86" i="2"/>
  <c r="K101" i="2"/>
  <c r="R101" i="2" s="1"/>
  <c r="K65" i="2"/>
  <c r="R65" i="2"/>
  <c r="K63" i="2"/>
  <c r="R63" i="2" s="1"/>
  <c r="K78" i="2"/>
  <c r="R78" i="2"/>
  <c r="K77" i="2"/>
  <c r="R77" i="2" s="1"/>
  <c r="K98" i="2"/>
  <c r="R98" i="2"/>
  <c r="K83" i="2"/>
  <c r="R83" i="2" s="1"/>
  <c r="K93" i="2"/>
  <c r="R93" i="2"/>
  <c r="K100" i="2"/>
  <c r="R100" i="2" s="1"/>
  <c r="K70" i="2"/>
  <c r="R70" i="2"/>
  <c r="K84" i="2"/>
  <c r="R84" i="2" s="1"/>
  <c r="K99" i="2"/>
  <c r="R99" i="2"/>
  <c r="K97" i="2"/>
  <c r="R97" i="2" s="1"/>
  <c r="K85" i="2"/>
  <c r="R85" i="2"/>
  <c r="K92" i="2"/>
  <c r="R92" i="2" s="1"/>
  <c r="K96" i="2"/>
  <c r="R96" i="2"/>
  <c r="K62" i="2"/>
  <c r="R62" i="2" s="1"/>
  <c r="S96" i="2" a="1"/>
  <c r="S96" i="2" s="1"/>
  <c r="X96" i="2" s="1"/>
  <c r="S97" i="2" a="1"/>
  <c r="S97" i="2" s="1"/>
  <c r="X97" i="2" s="1"/>
  <c r="S87" i="2" a="1"/>
  <c r="S87" i="2" s="1"/>
  <c r="X87" i="2" s="1"/>
  <c r="S74" i="2" a="1"/>
  <c r="S74" i="2" s="1"/>
  <c r="X74" i="2" s="1"/>
  <c r="S76" i="2" a="1"/>
  <c r="S76" i="2" s="1"/>
  <c r="X76" i="2" s="1"/>
  <c r="S94" i="2" a="1"/>
  <c r="S94" i="2" s="1"/>
  <c r="X94" i="2" s="1"/>
  <c r="K57" i="2"/>
  <c r="R57" i="2"/>
  <c r="K61" i="2"/>
  <c r="R61" i="2"/>
  <c r="K44" i="2"/>
  <c r="R44" i="2"/>
  <c r="K53" i="2"/>
  <c r="R53" i="2"/>
  <c r="K60" i="2"/>
  <c r="R60" i="2"/>
  <c r="K50" i="2"/>
  <c r="R50" i="2"/>
  <c r="K59" i="2"/>
  <c r="R59" i="2"/>
  <c r="K51" i="2"/>
  <c r="R51" i="2"/>
  <c r="K43" i="2"/>
  <c r="R43" i="2" s="1"/>
  <c r="K49" i="2"/>
  <c r="R49" i="2"/>
  <c r="K45" i="2"/>
  <c r="R45" i="2" s="1"/>
  <c r="K58" i="2"/>
  <c r="R58" i="2" s="1"/>
  <c r="K56" i="2"/>
  <c r="R56" i="2" s="1"/>
  <c r="K55" i="2"/>
  <c r="R55" i="2"/>
  <c r="K54" i="2"/>
  <c r="R54" i="2" s="1"/>
  <c r="K52" i="2"/>
  <c r="R52" i="2" s="1"/>
  <c r="K42" i="2"/>
  <c r="R42" i="2" s="1"/>
  <c r="K48" i="2"/>
  <c r="R48" i="2" s="1"/>
  <c r="K47" i="2"/>
  <c r="R47" i="2" s="1"/>
  <c r="K46" i="2"/>
  <c r="R46" i="2" s="1"/>
  <c r="S55" i="2" a="1"/>
  <c r="S55" i="2" s="1"/>
  <c r="X55" i="2" s="1"/>
  <c r="S13" i="2" a="1"/>
  <c r="S13" i="2" s="1"/>
  <c r="X13" i="2" s="1"/>
  <c r="K41" i="2"/>
  <c r="R41" i="2" s="1"/>
  <c r="K25" i="2"/>
  <c r="R25" i="2"/>
  <c r="K30" i="2"/>
  <c r="R30" i="2" s="1"/>
  <c r="K5" i="2"/>
  <c r="R5" i="2" s="1"/>
  <c r="K24" i="2"/>
  <c r="R24" i="2" s="1"/>
  <c r="K17" i="2"/>
  <c r="R17" i="2"/>
  <c r="K39" i="2"/>
  <c r="R39" i="2"/>
  <c r="K22" i="2"/>
  <c r="R22" i="2"/>
  <c r="K36" i="2"/>
  <c r="R36" i="2" s="1"/>
  <c r="K8" i="2"/>
  <c r="R8" i="2" s="1"/>
  <c r="K35" i="2"/>
  <c r="R35" i="2"/>
  <c r="K34" i="2"/>
  <c r="R34" i="2" s="1"/>
  <c r="K27" i="2"/>
  <c r="R27" i="2" s="1"/>
  <c r="K33" i="2"/>
  <c r="R33" i="2" s="1"/>
  <c r="K15" i="2"/>
  <c r="R15" i="2" s="1"/>
  <c r="K37" i="2"/>
  <c r="R37" i="2"/>
  <c r="K12" i="2"/>
  <c r="R12" i="2" s="1"/>
  <c r="K19" i="2"/>
  <c r="R19" i="2" s="1"/>
  <c r="K31" i="2"/>
  <c r="R31" i="2" s="1"/>
  <c r="K23" i="2"/>
  <c r="R23" i="2"/>
  <c r="K40" i="2"/>
  <c r="R40" i="2" s="1"/>
  <c r="K7" i="2"/>
  <c r="R7" i="2"/>
  <c r="K29" i="2"/>
  <c r="R29" i="2" s="1"/>
  <c r="K4" i="2"/>
  <c r="R4" i="2"/>
  <c r="K11" i="2"/>
  <c r="R11" i="2" s="1"/>
  <c r="K14" i="2"/>
  <c r="R14" i="2" s="1"/>
  <c r="K20" i="2"/>
  <c r="R20" i="2" s="1"/>
  <c r="K16" i="2"/>
  <c r="R16" i="2" s="1"/>
  <c r="K10" i="2"/>
  <c r="R10" i="2" s="1"/>
  <c r="K21" i="2"/>
  <c r="R21" i="2" s="1"/>
  <c r="K18" i="2"/>
  <c r="R18" i="2"/>
  <c r="K3" i="2"/>
  <c r="R3" i="2" s="1"/>
  <c r="K9" i="2"/>
  <c r="R9" i="2" s="1"/>
  <c r="K28" i="2"/>
  <c r="R28" i="2"/>
  <c r="K6" i="2"/>
  <c r="R6" i="2" s="1"/>
  <c r="K26" i="2"/>
  <c r="R26" i="2" s="1"/>
  <c r="K38" i="2"/>
  <c r="R38" i="2" s="1"/>
  <c r="K13" i="2"/>
  <c r="R13" i="2"/>
  <c r="K32" i="2"/>
  <c r="R32" i="2"/>
  <c r="K2" i="2"/>
  <c r="S2" i="2" s="1" a="1"/>
  <c r="R2" i="2"/>
  <c r="S2" i="2" l="1"/>
  <c r="U2" i="2" s="1"/>
  <c r="U13" i="2"/>
  <c r="W13" i="2" s="1"/>
  <c r="U161" i="2"/>
  <c r="W161" i="2" s="1"/>
  <c r="U186" i="2"/>
  <c r="W186" i="2" s="1"/>
  <c r="U155" i="2"/>
  <c r="W155" i="2" s="1"/>
  <c r="U179" i="2"/>
  <c r="W179" i="2" s="1"/>
  <c r="U74" i="2"/>
  <c r="W74" i="2" s="1"/>
  <c r="U160" i="2"/>
  <c r="W160" i="2" s="1"/>
  <c r="U137" i="2"/>
  <c r="W137" i="2" s="1"/>
  <c r="U109" i="2"/>
  <c r="W109" i="2" s="1"/>
  <c r="U194" i="2"/>
  <c r="W194" i="2" s="1"/>
  <c r="U159" i="2"/>
  <c r="W159" i="2" s="1"/>
  <c r="U112" i="2"/>
  <c r="W112" i="2" s="1"/>
  <c r="U127" i="2"/>
  <c r="W127" i="2" s="1"/>
  <c r="U199" i="2"/>
  <c r="W199" i="2" s="1"/>
  <c r="U197" i="2"/>
  <c r="W197" i="2" s="1"/>
  <c r="U158" i="2"/>
  <c r="W158" i="2" s="1"/>
  <c r="U103" i="2"/>
  <c r="W103" i="2" s="1"/>
  <c r="U126" i="2"/>
  <c r="W126" i="2" s="1"/>
  <c r="U107" i="2"/>
  <c r="W107" i="2" s="1"/>
  <c r="U140" i="2"/>
  <c r="W140" i="2" s="1"/>
  <c r="U147" i="2"/>
  <c r="W147" i="2" s="1"/>
  <c r="U105" i="2"/>
  <c r="W105" i="2" s="1"/>
  <c r="U87" i="2"/>
  <c r="W87" i="2" s="1"/>
  <c r="U134" i="2"/>
  <c r="W134" i="2" s="1"/>
  <c r="U149" i="2"/>
  <c r="W149" i="2" s="1"/>
  <c r="U106" i="2"/>
  <c r="W106" i="2" s="1"/>
  <c r="U172" i="2"/>
  <c r="W172" i="2" s="1"/>
  <c r="U136" i="2"/>
  <c r="W136" i="2" s="1"/>
  <c r="U125" i="2"/>
  <c r="W125" i="2" s="1"/>
  <c r="U113" i="2"/>
  <c r="W113" i="2" s="1"/>
  <c r="U163" i="2"/>
  <c r="W163" i="2" s="1"/>
  <c r="U117" i="2"/>
  <c r="W117" i="2" s="1"/>
  <c r="U131" i="2"/>
  <c r="W131" i="2" s="1"/>
  <c r="U148" i="2"/>
  <c r="W148" i="2" s="1"/>
  <c r="U135" i="2"/>
  <c r="W135" i="2" s="1"/>
  <c r="U183" i="2"/>
  <c r="W183" i="2" s="1"/>
  <c r="U151" i="2"/>
  <c r="W151" i="2" s="1"/>
  <c r="U189" i="2"/>
  <c r="W189" i="2" s="1"/>
  <c r="U144" i="2"/>
  <c r="W144" i="2" s="1"/>
  <c r="U193" i="2"/>
  <c r="W193" i="2" s="1"/>
  <c r="U191" i="2"/>
  <c r="W191" i="2" s="1"/>
  <c r="U97" i="2"/>
  <c r="W97" i="2" s="1"/>
  <c r="U166" i="2"/>
  <c r="W166" i="2" s="1"/>
  <c r="U120" i="2"/>
  <c r="W120" i="2" s="1"/>
  <c r="U138" i="2"/>
  <c r="W138" i="2" s="1"/>
  <c r="U165" i="2"/>
  <c r="W165" i="2" s="1"/>
  <c r="U110" i="2"/>
  <c r="W110" i="2" s="1"/>
  <c r="U176" i="2"/>
  <c r="W176" i="2" s="1"/>
  <c r="U116" i="2"/>
  <c r="W116" i="2" s="1"/>
  <c r="U141" i="2"/>
  <c r="W141" i="2" s="1"/>
  <c r="U130" i="2"/>
  <c r="W130" i="2" s="1"/>
  <c r="U167" i="2"/>
  <c r="W167" i="2" s="1"/>
  <c r="U111" i="2"/>
  <c r="W111" i="2" s="1"/>
  <c r="U175" i="2"/>
  <c r="W175" i="2" s="1"/>
  <c r="U162" i="2"/>
  <c r="W162" i="2" s="1"/>
  <c r="U121" i="2"/>
  <c r="W121" i="2" s="1"/>
  <c r="U180" i="2"/>
  <c r="W180" i="2" s="1"/>
  <c r="U76" i="2"/>
  <c r="W76" i="2" s="1"/>
  <c r="U190" i="2"/>
  <c r="W190" i="2" s="1"/>
  <c r="U188" i="2"/>
  <c r="W188" i="2" s="1"/>
  <c r="U96" i="2"/>
  <c r="W96" i="2" s="1"/>
  <c r="U198" i="2"/>
  <c r="W198" i="2" s="1"/>
  <c r="U156" i="2"/>
  <c r="W156" i="2" s="1"/>
  <c r="U170" i="2"/>
  <c r="W170" i="2" s="1"/>
  <c r="U124" i="2"/>
  <c r="W124" i="2" s="1"/>
  <c r="U142" i="2"/>
  <c r="W142" i="2" s="1"/>
  <c r="U185" i="2"/>
  <c r="W185" i="2" s="1"/>
  <c r="U114" i="2"/>
  <c r="W114" i="2" s="1"/>
  <c r="U184" i="2"/>
  <c r="W184" i="2" s="1"/>
  <c r="U133" i="2"/>
  <c r="W133" i="2" s="1"/>
  <c r="U157" i="2"/>
  <c r="W157" i="2" s="1"/>
  <c r="U152" i="2"/>
  <c r="W152" i="2" s="1"/>
  <c r="U173" i="2"/>
  <c r="W173" i="2" s="1"/>
  <c r="U187" i="2"/>
  <c r="W187" i="2" s="1"/>
  <c r="U94" i="2"/>
  <c r="W94" i="2" s="1"/>
  <c r="U171" i="2"/>
  <c r="W171" i="2" s="1"/>
  <c r="U55" i="2"/>
  <c r="W55" i="2" s="1"/>
  <c r="U123" i="2"/>
  <c r="W123" i="2" s="1"/>
  <c r="U196" i="2"/>
  <c r="W196" i="2" s="1"/>
  <c r="U129" i="2"/>
  <c r="W129" i="2" s="1"/>
  <c r="U153" i="2"/>
  <c r="W153" i="2" s="1"/>
  <c r="U181" i="2"/>
  <c r="W181" i="2" s="1"/>
  <c r="U164" i="2"/>
  <c r="W164" i="2" s="1"/>
  <c r="U174" i="2"/>
  <c r="W174" i="2" s="1"/>
  <c r="U128" i="2"/>
  <c r="W128" i="2" s="1"/>
  <c r="U146" i="2"/>
  <c r="W146" i="2" s="1"/>
  <c r="U201" i="2"/>
  <c r="W201" i="2" s="1"/>
  <c r="U118" i="2"/>
  <c r="W118" i="2" s="1"/>
  <c r="U192" i="2"/>
  <c r="W192" i="2" s="1"/>
  <c r="U122" i="2"/>
  <c r="W122" i="2" s="1"/>
  <c r="U200" i="2"/>
  <c r="W200" i="2" s="1"/>
  <c r="U119" i="2"/>
  <c r="W119" i="2" s="1"/>
  <c r="U182" i="2"/>
  <c r="W182" i="2" s="1"/>
  <c r="U195" i="2"/>
  <c r="W195" i="2" s="1"/>
  <c r="U177" i="2"/>
  <c r="W177" i="2" s="1"/>
  <c r="U115" i="2"/>
  <c r="W115" i="2" s="1"/>
  <c r="U143" i="2"/>
  <c r="W143" i="2" s="1"/>
  <c r="U145" i="2"/>
  <c r="W145" i="2" s="1"/>
  <c r="U169" i="2"/>
  <c r="W169" i="2" s="1"/>
  <c r="U139" i="2"/>
  <c r="W139" i="2" s="1"/>
  <c r="U168" i="2"/>
  <c r="W168" i="2" s="1"/>
  <c r="U178" i="2"/>
  <c r="W178" i="2" s="1"/>
  <c r="U132" i="2"/>
  <c r="W132" i="2" s="1"/>
  <c r="U150" i="2"/>
  <c r="W150" i="2" s="1"/>
  <c r="U104" i="2"/>
  <c r="W104" i="2" s="1"/>
  <c r="U154" i="2"/>
  <c r="W154" i="2" s="1"/>
  <c r="U108" i="2"/>
  <c r="W108" i="2" s="1"/>
  <c r="S83" i="2" a="1"/>
  <c r="S83" i="2" s="1"/>
  <c r="X83" i="2" s="1"/>
  <c r="S88" i="2" a="1"/>
  <c r="S88" i="2" s="1"/>
  <c r="X88" i="2" s="1"/>
  <c r="S62" i="2" a="1"/>
  <c r="S62" i="2" s="1"/>
  <c r="X62" i="2" s="1"/>
  <c r="S72" i="2" a="1"/>
  <c r="S72" i="2" s="1"/>
  <c r="X72" i="2" s="1"/>
  <c r="S75" i="2" a="1"/>
  <c r="S75" i="2" s="1"/>
  <c r="X75" i="2" s="1"/>
  <c r="S79" i="2" a="1"/>
  <c r="S79" i="2" s="1"/>
  <c r="X79" i="2" s="1"/>
  <c r="S98" i="2" a="1"/>
  <c r="S98" i="2" s="1"/>
  <c r="X98" i="2" s="1"/>
  <c r="S64" i="2" a="1"/>
  <c r="S64" i="2" s="1"/>
  <c r="X64" i="2" s="1"/>
  <c r="S59" i="2" a="1"/>
  <c r="S59" i="2" s="1"/>
  <c r="X59" i="2" s="1"/>
  <c r="S93" i="2" a="1"/>
  <c r="S93" i="2" s="1"/>
  <c r="X93" i="2" s="1"/>
  <c r="S70" i="2" a="1"/>
  <c r="S70" i="2" s="1"/>
  <c r="X70" i="2" s="1"/>
  <c r="S80" i="2" a="1"/>
  <c r="S80" i="2" s="1"/>
  <c r="X80" i="2" s="1"/>
  <c r="S81" i="2" a="1"/>
  <c r="S81" i="2" s="1"/>
  <c r="X81" i="2" s="1"/>
  <c r="S92" i="2" a="1"/>
  <c r="S92" i="2" s="1"/>
  <c r="X92" i="2" s="1"/>
  <c r="S78" i="2" a="1"/>
  <c r="S78" i="2" s="1"/>
  <c r="X78" i="2" s="1"/>
  <c r="S71" i="2" a="1"/>
  <c r="S71" i="2" s="1"/>
  <c r="X71" i="2" s="1"/>
  <c r="S86" i="2" a="1"/>
  <c r="S86" i="2" s="1"/>
  <c r="X86" i="2" s="1"/>
  <c r="S50" i="2" a="1"/>
  <c r="S50" i="2" s="1"/>
  <c r="X50" i="2" s="1"/>
  <c r="S99" i="2" a="1"/>
  <c r="S99" i="2" s="1"/>
  <c r="X99" i="2" s="1"/>
  <c r="S90" i="2" a="1"/>
  <c r="S90" i="2" s="1"/>
  <c r="X90" i="2" s="1"/>
  <c r="S61" i="2" a="1"/>
  <c r="S61" i="2" s="1"/>
  <c r="X61" i="2" s="1"/>
  <c r="S67" i="2" a="1"/>
  <c r="S67" i="2" s="1"/>
  <c r="X67" i="2" s="1"/>
  <c r="S84" i="2" a="1"/>
  <c r="S84" i="2" s="1"/>
  <c r="X84" i="2" s="1"/>
  <c r="S95" i="2" a="1"/>
  <c r="S95" i="2" s="1"/>
  <c r="X95" i="2" s="1"/>
  <c r="S89" i="2" a="1"/>
  <c r="S89" i="2" s="1"/>
  <c r="X89" i="2" s="1"/>
  <c r="S73" i="2" a="1"/>
  <c r="S73" i="2" s="1"/>
  <c r="X73" i="2" s="1"/>
  <c r="S25" i="2" a="1"/>
  <c r="S25" i="2" s="1"/>
  <c r="X25" i="2" s="1"/>
  <c r="S101" i="2" a="1"/>
  <c r="S101" i="2" s="1"/>
  <c r="X101" i="2" s="1"/>
  <c r="S38" i="2" a="1"/>
  <c r="S38" i="2" s="1"/>
  <c r="X38" i="2" s="1"/>
  <c r="S44" i="2" a="1"/>
  <c r="S44" i="2" s="1"/>
  <c r="X44" i="2" s="1"/>
  <c r="S68" i="2" a="1"/>
  <c r="S68" i="2" s="1"/>
  <c r="X68" i="2" s="1"/>
  <c r="S100" i="2" a="1"/>
  <c r="S100" i="2" s="1"/>
  <c r="X100" i="2" s="1"/>
  <c r="S85" i="2" a="1"/>
  <c r="S85" i="2" s="1"/>
  <c r="X85" i="2" s="1"/>
  <c r="S66" i="2" a="1"/>
  <c r="S66" i="2" s="1"/>
  <c r="X66" i="2" s="1"/>
  <c r="S77" i="2" a="1"/>
  <c r="S77" i="2" s="1"/>
  <c r="X77" i="2" s="1"/>
  <c r="S69" i="2" a="1"/>
  <c r="S69" i="2" s="1"/>
  <c r="X69" i="2" s="1"/>
  <c r="S57" i="2" a="1"/>
  <c r="S57" i="2" s="1"/>
  <c r="X57" i="2" s="1"/>
  <c r="S91" i="2" a="1"/>
  <c r="S91" i="2" s="1"/>
  <c r="X91" i="2" s="1"/>
  <c r="S65" i="2" a="1"/>
  <c r="S65" i="2" s="1"/>
  <c r="X65" i="2" s="1"/>
  <c r="S82" i="2" a="1"/>
  <c r="S82" i="2" s="1"/>
  <c r="X82" i="2" s="1"/>
  <c r="S63" i="2" a="1"/>
  <c r="S63" i="2" s="1"/>
  <c r="X63" i="2" s="1"/>
  <c r="S33" i="2" a="1"/>
  <c r="S33" i="2" s="1"/>
  <c r="X33" i="2" s="1"/>
  <c r="S49" i="2" a="1"/>
  <c r="S49" i="2" s="1"/>
  <c r="X49" i="2" s="1"/>
  <c r="S58" i="2" a="1"/>
  <c r="S58" i="2" s="1"/>
  <c r="X58" i="2" s="1"/>
  <c r="S51" i="2" a="1"/>
  <c r="S51" i="2" s="1"/>
  <c r="X51" i="2" s="1"/>
  <c r="S48" i="2" a="1"/>
  <c r="S48" i="2" s="1"/>
  <c r="X48" i="2" s="1"/>
  <c r="S52" i="2" a="1"/>
  <c r="S52" i="2" s="1"/>
  <c r="X52" i="2" s="1"/>
  <c r="S45" i="2" a="1"/>
  <c r="S45" i="2" s="1"/>
  <c r="X45" i="2" s="1"/>
  <c r="S53" i="2" a="1"/>
  <c r="S53" i="2" s="1"/>
  <c r="X53" i="2" s="1"/>
  <c r="S43" i="2" a="1"/>
  <c r="S43" i="2" s="1"/>
  <c r="X43" i="2" s="1"/>
  <c r="S3" i="2" a="1"/>
  <c r="S3" i="2" s="1"/>
  <c r="X3" i="2" s="1"/>
  <c r="S47" i="2" a="1"/>
  <c r="S47" i="2" s="1"/>
  <c r="X47" i="2" s="1"/>
  <c r="S54" i="2" a="1"/>
  <c r="S54" i="2" s="1"/>
  <c r="X54" i="2" s="1"/>
  <c r="S60" i="2" a="1"/>
  <c r="S60" i="2" s="1"/>
  <c r="X60" i="2" s="1"/>
  <c r="S24" i="2" a="1"/>
  <c r="S24" i="2" s="1"/>
  <c r="X24" i="2" s="1"/>
  <c r="S46" i="2" a="1"/>
  <c r="S46" i="2" s="1"/>
  <c r="X46" i="2" s="1"/>
  <c r="S56" i="2" a="1"/>
  <c r="S56" i="2" s="1"/>
  <c r="X56" i="2" s="1"/>
  <c r="S42" i="2" a="1"/>
  <c r="S42" i="2" s="1"/>
  <c r="X42" i="2" s="1"/>
  <c r="S30" i="2" a="1"/>
  <c r="S30" i="2" s="1"/>
  <c r="X30" i="2" s="1"/>
  <c r="S28" i="2" a="1"/>
  <c r="S28" i="2" s="1"/>
  <c r="X28" i="2" s="1"/>
  <c r="S14" i="2" a="1"/>
  <c r="S14" i="2" s="1"/>
  <c r="X14" i="2" s="1"/>
  <c r="S34" i="2" a="1"/>
  <c r="S34" i="2" s="1"/>
  <c r="X34" i="2" s="1"/>
  <c r="S20" i="2" a="1"/>
  <c r="S20" i="2" s="1"/>
  <c r="X20" i="2" s="1"/>
  <c r="S9" i="2" a="1"/>
  <c r="S9" i="2" s="1"/>
  <c r="X9" i="2" s="1"/>
  <c r="S12" i="2" a="1"/>
  <c r="S12" i="2" s="1"/>
  <c r="X12" i="2" s="1"/>
  <c r="S36" i="2" a="1"/>
  <c r="S36" i="2" s="1"/>
  <c r="X36" i="2" s="1"/>
  <c r="S11" i="2" a="1"/>
  <c r="S11" i="2" s="1"/>
  <c r="X11" i="2" s="1"/>
  <c r="S40" i="2" a="1"/>
  <c r="S40" i="2" s="1"/>
  <c r="X40" i="2" s="1"/>
  <c r="S23" i="2" a="1"/>
  <c r="S23" i="2" s="1"/>
  <c r="X23" i="2" s="1"/>
  <c r="S29" i="2" a="1"/>
  <c r="S29" i="2" s="1"/>
  <c r="X29" i="2" s="1"/>
  <c r="S35" i="2" a="1"/>
  <c r="S35" i="2" s="1"/>
  <c r="X35" i="2" s="1"/>
  <c r="S22" i="2" a="1"/>
  <c r="S22" i="2" s="1"/>
  <c r="X22" i="2" s="1"/>
  <c r="S6" i="2" a="1"/>
  <c r="S6" i="2" s="1"/>
  <c r="X6" i="2" s="1"/>
  <c r="S16" i="2" a="1"/>
  <c r="S16" i="2" s="1"/>
  <c r="X16" i="2" s="1"/>
  <c r="S18" i="2" a="1"/>
  <c r="S18" i="2" s="1"/>
  <c r="X18" i="2" s="1"/>
  <c r="S17" i="2" a="1"/>
  <c r="S17" i="2" s="1"/>
  <c r="X17" i="2" s="1"/>
  <c r="S19" i="2" a="1"/>
  <c r="S19" i="2" s="1"/>
  <c r="X19" i="2" s="1"/>
  <c r="S37" i="2" a="1"/>
  <c r="S37" i="2" s="1"/>
  <c r="X37" i="2" s="1"/>
  <c r="S15" i="2" a="1"/>
  <c r="S15" i="2" s="1"/>
  <c r="X15" i="2" s="1"/>
  <c r="S31" i="2" a="1"/>
  <c r="S31" i="2" s="1"/>
  <c r="X31" i="2" s="1"/>
  <c r="S7" i="2" a="1"/>
  <c r="S7" i="2" s="1"/>
  <c r="X7" i="2" s="1"/>
  <c r="S8" i="2" a="1"/>
  <c r="S8" i="2" s="1"/>
  <c r="X8" i="2" s="1"/>
  <c r="S21" i="2" a="1"/>
  <c r="S21" i="2" s="1"/>
  <c r="X21" i="2" s="1"/>
  <c r="S27" i="2" a="1"/>
  <c r="S27" i="2" s="1"/>
  <c r="X27" i="2" s="1"/>
  <c r="S10" i="2" a="1"/>
  <c r="S10" i="2" s="1"/>
  <c r="X10" i="2" s="1"/>
  <c r="S5" i="2" a="1"/>
  <c r="S5" i="2" s="1"/>
  <c r="X5" i="2" s="1"/>
  <c r="S41" i="2" a="1"/>
  <c r="S41" i="2" s="1"/>
  <c r="X41" i="2" s="1"/>
  <c r="S39" i="2" a="1"/>
  <c r="S39" i="2" s="1"/>
  <c r="X39" i="2" s="1"/>
  <c r="S32" i="2" a="1"/>
  <c r="S32" i="2" s="1"/>
  <c r="X32" i="2" s="1"/>
  <c r="S26" i="2" a="1"/>
  <c r="S26" i="2" s="1"/>
  <c r="X26" i="2" s="1"/>
  <c r="S4" i="2" a="1"/>
  <c r="S4" i="2" s="1"/>
  <c r="X4" i="2" s="1"/>
  <c r="W2" i="2" l="1"/>
  <c r="B2" i="3" a="1"/>
  <c r="B2" i="3" s="1"/>
  <c r="X2" i="2"/>
  <c r="U9" i="2"/>
  <c r="W9" i="2" s="1"/>
  <c r="U64" i="2"/>
  <c r="W64" i="2" s="1"/>
  <c r="U24" i="2"/>
  <c r="W24" i="2" s="1"/>
  <c r="U98" i="2"/>
  <c r="W98" i="2" s="1"/>
  <c r="U48" i="2"/>
  <c r="W48" i="2" s="1"/>
  <c r="U91" i="2"/>
  <c r="W91" i="2" s="1"/>
  <c r="U44" i="2"/>
  <c r="W44" i="2" s="1"/>
  <c r="U67" i="2"/>
  <c r="W67" i="2" s="1"/>
  <c r="U92" i="2"/>
  <c r="W92" i="2" s="1"/>
  <c r="U79" i="2"/>
  <c r="W79" i="2" s="1"/>
  <c r="U22" i="2"/>
  <c r="W22" i="2" s="1"/>
  <c r="U71" i="2"/>
  <c r="W71" i="2" s="1"/>
  <c r="U52" i="2"/>
  <c r="W52" i="2" s="1"/>
  <c r="U34" i="2"/>
  <c r="W34" i="2" s="1"/>
  <c r="U10" i="2"/>
  <c r="W10" i="2" s="1"/>
  <c r="U19" i="2"/>
  <c r="W19" i="2" s="1"/>
  <c r="U23" i="2"/>
  <c r="W23" i="2" s="1"/>
  <c r="U14" i="2"/>
  <c r="W14" i="2" s="1"/>
  <c r="U54" i="2"/>
  <c r="W54" i="2" s="1"/>
  <c r="U51" i="2"/>
  <c r="W51" i="2" s="1"/>
  <c r="U57" i="2"/>
  <c r="W57" i="2" s="1"/>
  <c r="U38" i="2"/>
  <c r="W38" i="2" s="1"/>
  <c r="U61" i="2"/>
  <c r="W61" i="2" s="1"/>
  <c r="U81" i="2"/>
  <c r="W81" i="2" s="1"/>
  <c r="U75" i="2"/>
  <c r="W75" i="2" s="1"/>
  <c r="U39" i="2"/>
  <c r="W39" i="2" s="1"/>
  <c r="U82" i="2"/>
  <c r="W82" i="2" s="1"/>
  <c r="U20" i="2"/>
  <c r="W20" i="2" s="1"/>
  <c r="U78" i="2"/>
  <c r="W78" i="2" s="1"/>
  <c r="U60" i="2"/>
  <c r="W60" i="2" s="1"/>
  <c r="U27" i="2"/>
  <c r="W27" i="2" s="1"/>
  <c r="U17" i="2"/>
  <c r="W17" i="2" s="1"/>
  <c r="U40" i="2"/>
  <c r="W40" i="2" s="1"/>
  <c r="U28" i="2"/>
  <c r="W28" i="2" s="1"/>
  <c r="U47" i="2"/>
  <c r="W47" i="2" s="1"/>
  <c r="U58" i="2"/>
  <c r="W58" i="2" s="1"/>
  <c r="U69" i="2"/>
  <c r="W69" i="2" s="1"/>
  <c r="U101" i="2"/>
  <c r="W101" i="2" s="1"/>
  <c r="U90" i="2"/>
  <c r="W90" i="2" s="1"/>
  <c r="U80" i="2"/>
  <c r="W80" i="2" s="1"/>
  <c r="U72" i="2"/>
  <c r="W72" i="2" s="1"/>
  <c r="U45" i="2"/>
  <c r="W45" i="2" s="1"/>
  <c r="U35" i="2"/>
  <c r="W35" i="2" s="1"/>
  <c r="U84" i="2"/>
  <c r="W84" i="2" s="1"/>
  <c r="U29" i="2"/>
  <c r="W29" i="2" s="1"/>
  <c r="U4" i="2"/>
  <c r="W4" i="2" s="1"/>
  <c r="U21" i="2"/>
  <c r="W21" i="2" s="1"/>
  <c r="U18" i="2"/>
  <c r="W18" i="2" s="1"/>
  <c r="U11" i="2"/>
  <c r="W11" i="2" s="1"/>
  <c r="U30" i="2"/>
  <c r="W30" i="2" s="1"/>
  <c r="U3" i="2"/>
  <c r="W3" i="2" s="1"/>
  <c r="U49" i="2"/>
  <c r="W49" i="2" s="1"/>
  <c r="U77" i="2"/>
  <c r="W77" i="2" s="1"/>
  <c r="U25" i="2"/>
  <c r="W25" i="2" s="1"/>
  <c r="U99" i="2"/>
  <c r="W99" i="2" s="1"/>
  <c r="U70" i="2"/>
  <c r="W70" i="2" s="1"/>
  <c r="U62" i="2"/>
  <c r="W62" i="2" s="1"/>
  <c r="U46" i="2"/>
  <c r="W46" i="2" s="1"/>
  <c r="U100" i="2"/>
  <c r="W100" i="2" s="1"/>
  <c r="U41" i="2"/>
  <c r="W41" i="2" s="1"/>
  <c r="U65" i="2"/>
  <c r="W65" i="2" s="1"/>
  <c r="U5" i="2"/>
  <c r="W5" i="2" s="1"/>
  <c r="U26" i="2"/>
  <c r="W26" i="2" s="1"/>
  <c r="U16" i="2"/>
  <c r="W16" i="2" s="1"/>
  <c r="U36" i="2"/>
  <c r="W36" i="2" s="1"/>
  <c r="U42" i="2"/>
  <c r="W42" i="2" s="1"/>
  <c r="U43" i="2"/>
  <c r="W43" i="2" s="1"/>
  <c r="U33" i="2"/>
  <c r="W33" i="2" s="1"/>
  <c r="U66" i="2"/>
  <c r="W66" i="2" s="1"/>
  <c r="U73" i="2"/>
  <c r="W73" i="2" s="1"/>
  <c r="U50" i="2"/>
  <c r="W50" i="2" s="1"/>
  <c r="U93" i="2"/>
  <c r="W93" i="2" s="1"/>
  <c r="U88" i="2"/>
  <c r="W88" i="2" s="1"/>
  <c r="U31" i="2"/>
  <c r="W31" i="2" s="1"/>
  <c r="U95" i="2"/>
  <c r="W95" i="2" s="1"/>
  <c r="U15" i="2"/>
  <c r="W15" i="2" s="1"/>
  <c r="U68" i="2"/>
  <c r="W68" i="2" s="1"/>
  <c r="U37" i="2"/>
  <c r="W37" i="2" s="1"/>
  <c r="U8" i="2"/>
  <c r="W8" i="2" s="1"/>
  <c r="U32" i="2"/>
  <c r="W32" i="2" s="1"/>
  <c r="U7" i="2"/>
  <c r="W7" i="2" s="1"/>
  <c r="U6" i="2"/>
  <c r="W6" i="2" s="1"/>
  <c r="U12" i="2"/>
  <c r="W12" i="2" s="1"/>
  <c r="U56" i="2"/>
  <c r="W56" i="2" s="1"/>
  <c r="U53" i="2"/>
  <c r="W53" i="2" s="1"/>
  <c r="U63" i="2"/>
  <c r="W63" i="2" s="1"/>
  <c r="U85" i="2"/>
  <c r="W85" i="2" s="1"/>
  <c r="U89" i="2"/>
  <c r="W89" i="2" s="1"/>
  <c r="U86" i="2"/>
  <c r="W86" i="2" s="1"/>
  <c r="U59" i="2"/>
  <c r="W59" i="2" s="1"/>
  <c r="U83" i="2"/>
  <c r="W83" i="2" s="1"/>
  <c r="D2" i="3" l="1" a="1"/>
  <c r="D2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<sst xmlns="http://schemas.openxmlformats.org/spreadsheetml/2006/main" count="25" uniqueCount="21">
  <si>
    <t>Lương</t>
  </si>
  <si>
    <t>miễn trừ gia cảnh</t>
  </si>
  <si>
    <t>lương đóng thuê</t>
  </si>
  <si>
    <t xml:space="preserve"> %</t>
  </si>
  <si>
    <t>mức</t>
  </si>
  <si>
    <t>hệ sô hiệu chỉnh</t>
  </si>
  <si>
    <t>tổng cộng</t>
  </si>
  <si>
    <t>phải nộp</t>
  </si>
  <si>
    <t>bậc</t>
  </si>
  <si>
    <t>mức chịu thuế tối đa ở bậc</t>
  </si>
  <si>
    <t>lương</t>
  </si>
  <si>
    <t>lương x10^6</t>
  </si>
  <si>
    <t>lương đóng thuế</t>
  </si>
  <si>
    <t>bảo hiểm xã hội</t>
  </si>
  <si>
    <t>thuế thu nhập cá nhân</t>
  </si>
  <si>
    <t>khoản tăng 17% trên mỗi đồng</t>
  </si>
  <si>
    <t>u&lt;V</t>
  </si>
  <si>
    <t>s&lt;V</t>
  </si>
  <si>
    <t>phải đóng</t>
  </si>
  <si>
    <t>phải đóng T+ S</t>
  </si>
  <si>
    <t>bảo hiểm xã hội G * 8.5/100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</si>
</sst>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VND]\ #,##0.00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164" fontId="0" fillId="0" borderId="0" xfId="0" applyNumberFormat="1"/>
    <xf numFmtId="2" fontId="0" fillId="0" borderId="0" xfId="0" applyNumberFormat="1"/>
    <xf numFmtId="9" fontId="0" fillId="0" borderId="0" xfId="42" applyFont="1"/>
    <xf numFmtId="10" fontId="0" fillId="0" borderId="0" xfId="0" applyNumberFormat="1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 sánh</a:t>
            </a:r>
            <a:r>
              <a:rPr lang="en-US" baseline="0"/>
              <a:t> thuế có 8.5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'tính toán thêm'!$U$1</c:f>
              <c:strCache>
                <c:ptCount val="1"/>
                <c:pt idx="0">
                  <c:v>phải đóng T+ 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'tính toán thêm'!$G$2:$G$201</c:f>
              <c:numCache>
                <c:formatCode>General</c:formatCode>
                <c:ptCount val="20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101</c:v>
                </c:pt>
                <c:pt idx="97">
                  <c:v>102</c:v>
                </c:pt>
                <c:pt idx="98">
                  <c:v>103</c:v>
                </c:pt>
                <c:pt idx="99">
                  <c:v>104</c:v>
                </c:pt>
                <c:pt idx="100">
                  <c:v>105</c:v>
                </c:pt>
                <c:pt idx="101">
                  <c:v>106</c:v>
                </c:pt>
                <c:pt idx="102">
                  <c:v>107</c:v>
                </c:pt>
                <c:pt idx="103">
                  <c:v>108</c:v>
                </c:pt>
                <c:pt idx="104">
                  <c:v>109</c:v>
                </c:pt>
                <c:pt idx="105">
                  <c:v>110</c:v>
                </c:pt>
                <c:pt idx="106">
                  <c:v>111</c:v>
                </c:pt>
                <c:pt idx="107">
                  <c:v>112</c:v>
                </c:pt>
                <c:pt idx="108">
                  <c:v>113</c:v>
                </c:pt>
                <c:pt idx="109">
                  <c:v>114</c:v>
                </c:pt>
                <c:pt idx="110">
                  <c:v>115</c:v>
                </c:pt>
                <c:pt idx="111">
                  <c:v>116</c:v>
                </c:pt>
                <c:pt idx="112">
                  <c:v>117</c:v>
                </c:pt>
                <c:pt idx="113">
                  <c:v>118</c:v>
                </c:pt>
                <c:pt idx="114">
                  <c:v>119</c:v>
                </c:pt>
                <c:pt idx="115">
                  <c:v>120</c:v>
                </c:pt>
                <c:pt idx="116">
                  <c:v>121</c:v>
                </c:pt>
                <c:pt idx="117">
                  <c:v>122</c:v>
                </c:pt>
                <c:pt idx="118">
                  <c:v>123</c:v>
                </c:pt>
                <c:pt idx="119">
                  <c:v>124</c:v>
                </c:pt>
                <c:pt idx="120">
                  <c:v>125</c:v>
                </c:pt>
                <c:pt idx="121">
                  <c:v>126</c:v>
                </c:pt>
                <c:pt idx="122">
                  <c:v>127</c:v>
                </c:pt>
                <c:pt idx="123">
                  <c:v>128</c:v>
                </c:pt>
                <c:pt idx="124">
                  <c:v>129</c:v>
                </c:pt>
                <c:pt idx="125">
                  <c:v>130</c:v>
                </c:pt>
                <c:pt idx="126">
                  <c:v>131</c:v>
                </c:pt>
                <c:pt idx="127">
                  <c:v>132</c:v>
                </c:pt>
                <c:pt idx="128">
                  <c:v>133</c:v>
                </c:pt>
                <c:pt idx="129">
                  <c:v>134</c:v>
                </c:pt>
                <c:pt idx="130">
                  <c:v>135</c:v>
                </c:pt>
                <c:pt idx="131">
                  <c:v>136</c:v>
                </c:pt>
                <c:pt idx="132">
                  <c:v>137</c:v>
                </c:pt>
                <c:pt idx="133">
                  <c:v>138</c:v>
                </c:pt>
                <c:pt idx="134">
                  <c:v>139</c:v>
                </c:pt>
                <c:pt idx="135">
                  <c:v>140</c:v>
                </c:pt>
                <c:pt idx="136">
                  <c:v>141</c:v>
                </c:pt>
                <c:pt idx="137">
                  <c:v>142</c:v>
                </c:pt>
                <c:pt idx="138">
                  <c:v>143</c:v>
                </c:pt>
                <c:pt idx="139">
                  <c:v>144</c:v>
                </c:pt>
                <c:pt idx="140">
                  <c:v>145</c:v>
                </c:pt>
                <c:pt idx="141">
                  <c:v>146</c:v>
                </c:pt>
                <c:pt idx="142">
                  <c:v>147</c:v>
                </c:pt>
                <c:pt idx="143">
                  <c:v>148</c:v>
                </c:pt>
                <c:pt idx="144">
                  <c:v>149</c:v>
                </c:pt>
                <c:pt idx="145">
                  <c:v>150</c:v>
                </c:pt>
                <c:pt idx="146">
                  <c:v>151</c:v>
                </c:pt>
                <c:pt idx="147">
                  <c:v>152</c:v>
                </c:pt>
                <c:pt idx="148">
                  <c:v>153</c:v>
                </c:pt>
                <c:pt idx="149">
                  <c:v>154</c:v>
                </c:pt>
                <c:pt idx="150">
                  <c:v>155</c:v>
                </c:pt>
                <c:pt idx="151">
                  <c:v>156</c:v>
                </c:pt>
                <c:pt idx="152">
                  <c:v>157</c:v>
                </c:pt>
                <c:pt idx="153">
                  <c:v>158</c:v>
                </c:pt>
                <c:pt idx="154">
                  <c:v>159</c:v>
                </c:pt>
                <c:pt idx="155">
                  <c:v>160</c:v>
                </c:pt>
                <c:pt idx="156">
                  <c:v>161</c:v>
                </c:pt>
                <c:pt idx="157">
                  <c:v>162</c:v>
                </c:pt>
                <c:pt idx="158">
                  <c:v>163</c:v>
                </c:pt>
                <c:pt idx="159">
                  <c:v>164</c:v>
                </c:pt>
                <c:pt idx="160">
                  <c:v>165</c:v>
                </c:pt>
                <c:pt idx="161">
                  <c:v>166</c:v>
                </c:pt>
                <c:pt idx="162">
                  <c:v>167</c:v>
                </c:pt>
                <c:pt idx="163">
                  <c:v>168</c:v>
                </c:pt>
                <c:pt idx="164">
                  <c:v>169</c:v>
                </c:pt>
                <c:pt idx="165">
                  <c:v>170</c:v>
                </c:pt>
                <c:pt idx="166">
                  <c:v>171</c:v>
                </c:pt>
                <c:pt idx="167">
                  <c:v>172</c:v>
                </c:pt>
                <c:pt idx="168">
                  <c:v>173</c:v>
                </c:pt>
                <c:pt idx="169">
                  <c:v>174</c:v>
                </c:pt>
                <c:pt idx="170">
                  <c:v>175</c:v>
                </c:pt>
                <c:pt idx="171">
                  <c:v>176</c:v>
                </c:pt>
                <c:pt idx="172">
                  <c:v>177</c:v>
                </c:pt>
                <c:pt idx="173">
                  <c:v>178</c:v>
                </c:pt>
                <c:pt idx="174">
                  <c:v>179</c:v>
                </c:pt>
                <c:pt idx="175">
                  <c:v>180</c:v>
                </c:pt>
                <c:pt idx="176">
                  <c:v>181</c:v>
                </c:pt>
                <c:pt idx="177">
                  <c:v>182</c:v>
                </c:pt>
                <c:pt idx="178">
                  <c:v>183</c:v>
                </c:pt>
                <c:pt idx="179">
                  <c:v>184</c:v>
                </c:pt>
                <c:pt idx="180">
                  <c:v>185</c:v>
                </c:pt>
                <c:pt idx="181">
                  <c:v>186</c:v>
                </c:pt>
                <c:pt idx="182">
                  <c:v>187</c:v>
                </c:pt>
                <c:pt idx="183">
                  <c:v>188</c:v>
                </c:pt>
                <c:pt idx="184">
                  <c:v>189</c:v>
                </c:pt>
                <c:pt idx="185">
                  <c:v>190</c:v>
                </c:pt>
                <c:pt idx="186">
                  <c:v>191</c:v>
                </c:pt>
                <c:pt idx="187">
                  <c:v>192</c:v>
                </c:pt>
                <c:pt idx="188">
                  <c:v>193</c:v>
                </c:pt>
                <c:pt idx="189">
                  <c:v>194</c:v>
                </c:pt>
                <c:pt idx="190">
                  <c:v>195</c:v>
                </c:pt>
                <c:pt idx="191">
                  <c:v>196</c:v>
                </c:pt>
                <c:pt idx="192">
                  <c:v>197</c:v>
                </c:pt>
                <c:pt idx="193">
                  <c:v>198</c:v>
                </c:pt>
                <c:pt idx="194">
                  <c:v>199</c:v>
                </c:pt>
                <c:pt idx="195">
                  <c:v>200</c:v>
                </c:pt>
                <c:pt idx="196">
                  <c:v>201</c:v>
                </c:pt>
                <c:pt idx="197">
                  <c:v>202</c:v>
                </c:pt>
                <c:pt idx="198">
                  <c:v>203</c:v>
                </c:pt>
                <c:pt idx="199">
                  <c:v>204</c:v>
                </c:pt>
              </c:numCache>
            </c:numRef>
          </c:cat>
          <c:val>
            <c:numRef>
              <c:f>'tính toán thêm'!$U$2:$U$61</c:f>
              <c:numCache>
                <c:formatCode>[$VND]\ #,##0.00</c:formatCode>
                <c:ptCount val="60"/>
                <c:pt idx="0">
                  <c:v>425000</c:v>
                </c:pt>
                <c:pt idx="1">
                  <c:v>510000</c:v>
                </c:pt>
                <c:pt idx="2">
                  <c:v>595000</c:v>
                </c:pt>
                <c:pt idx="3">
                  <c:v>680000</c:v>
                </c:pt>
                <c:pt idx="4">
                  <c:v>765000</c:v>
                </c:pt>
                <c:pt idx="5">
                  <c:v>850000</c:v>
                </c:pt>
                <c:pt idx="6">
                  <c:v>935000</c:v>
                </c:pt>
                <c:pt idx="7">
                  <c:v>1020000</c:v>
                </c:pt>
                <c:pt idx="8">
                  <c:v>1105000</c:v>
                </c:pt>
                <c:pt idx="9">
                  <c:v>1190000</c:v>
                </c:pt>
                <c:pt idx="10">
                  <c:v>1275000</c:v>
                </c:pt>
                <c:pt idx="11">
                  <c:v>1360000</c:v>
                </c:pt>
                <c:pt idx="12">
                  <c:v>1445000</c:v>
                </c:pt>
                <c:pt idx="13">
                  <c:v>1553500</c:v>
                </c:pt>
                <c:pt idx="14">
                  <c:v>1684250</c:v>
                </c:pt>
                <c:pt idx="15">
                  <c:v>1815000</c:v>
                </c:pt>
                <c:pt idx="16">
                  <c:v>1945750</c:v>
                </c:pt>
                <c:pt idx="17">
                  <c:v>2076500</c:v>
                </c:pt>
                <c:pt idx="18">
                  <c:v>2209500</c:v>
                </c:pt>
                <c:pt idx="19">
                  <c:v>2386000</c:v>
                </c:pt>
                <c:pt idx="20">
                  <c:v>2562500</c:v>
                </c:pt>
                <c:pt idx="21">
                  <c:v>2739000</c:v>
                </c:pt>
                <c:pt idx="22">
                  <c:v>2915500</c:v>
                </c:pt>
                <c:pt idx="23">
                  <c:v>3092000</c:v>
                </c:pt>
                <c:pt idx="24">
                  <c:v>3295250</c:v>
                </c:pt>
                <c:pt idx="25">
                  <c:v>3517500</c:v>
                </c:pt>
                <c:pt idx="26">
                  <c:v>3739750</c:v>
                </c:pt>
                <c:pt idx="27">
                  <c:v>3962000</c:v>
                </c:pt>
                <c:pt idx="28">
                  <c:v>4184250</c:v>
                </c:pt>
                <c:pt idx="29">
                  <c:v>4406500</c:v>
                </c:pt>
                <c:pt idx="30">
                  <c:v>4628750</c:v>
                </c:pt>
                <c:pt idx="31">
                  <c:v>4851000</c:v>
                </c:pt>
                <c:pt idx="32">
                  <c:v>5073250</c:v>
                </c:pt>
                <c:pt idx="33">
                  <c:v>5334000</c:v>
                </c:pt>
                <c:pt idx="34">
                  <c:v>5602000</c:v>
                </c:pt>
                <c:pt idx="35">
                  <c:v>5870000</c:v>
                </c:pt>
                <c:pt idx="36">
                  <c:v>6138000</c:v>
                </c:pt>
                <c:pt idx="37">
                  <c:v>6406000</c:v>
                </c:pt>
                <c:pt idx="38">
                  <c:v>6674000</c:v>
                </c:pt>
                <c:pt idx="39">
                  <c:v>6941999.9999999991</c:v>
                </c:pt>
                <c:pt idx="40">
                  <c:v>7210000</c:v>
                </c:pt>
                <c:pt idx="41">
                  <c:v>7478000</c:v>
                </c:pt>
                <c:pt idx="42">
                  <c:v>7746000</c:v>
                </c:pt>
                <c:pt idx="43">
                  <c:v>8014000</c:v>
                </c:pt>
                <c:pt idx="44">
                  <c:v>8282000</c:v>
                </c:pt>
                <c:pt idx="45">
                  <c:v>8550000</c:v>
                </c:pt>
                <c:pt idx="46">
                  <c:v>8818000</c:v>
                </c:pt>
                <c:pt idx="47">
                  <c:v>9086000</c:v>
                </c:pt>
                <c:pt idx="48">
                  <c:v>9378750</c:v>
                </c:pt>
                <c:pt idx="49">
                  <c:v>9692500</c:v>
                </c:pt>
                <c:pt idx="50">
                  <c:v>10006250</c:v>
                </c:pt>
                <c:pt idx="51">
                  <c:v>10320000</c:v>
                </c:pt>
                <c:pt idx="52">
                  <c:v>10633750</c:v>
                </c:pt>
                <c:pt idx="53">
                  <c:v>10947500</c:v>
                </c:pt>
                <c:pt idx="54">
                  <c:v>11261250</c:v>
                </c:pt>
                <c:pt idx="55">
                  <c:v>11575000</c:v>
                </c:pt>
                <c:pt idx="56">
                  <c:v>11888750</c:v>
                </c:pt>
                <c:pt idx="57">
                  <c:v>12202500.000000002</c:v>
                </c:pt>
                <c:pt idx="58">
                  <c:v>12516249.999999998</c:v>
                </c:pt>
                <c:pt idx="59">
                  <c:v>12830000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27-4719-91A2-FDA5F38C7120}"/>
            </c:ext>
          </c:extLst>
        </c:ser>
        <c:ser>
          <c:idx val="3"/>
          <c:order val="1"/>
          <c:tx>
            <c:strRef>
              <c:f>'tính toán thêm'!$V$1</c:f>
              <c:strCache>
                <c:ptCount val="1"/>
                <c:pt idx="0">
                  <c:v>khoản tăng 17% trên mỗi đồng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'tính toán thêm'!$G$2:$G$201</c:f>
              <c:numCache>
                <c:formatCode>General</c:formatCode>
                <c:ptCount val="20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101</c:v>
                </c:pt>
                <c:pt idx="97">
                  <c:v>102</c:v>
                </c:pt>
                <c:pt idx="98">
                  <c:v>103</c:v>
                </c:pt>
                <c:pt idx="99">
                  <c:v>104</c:v>
                </c:pt>
                <c:pt idx="100">
                  <c:v>105</c:v>
                </c:pt>
                <c:pt idx="101">
                  <c:v>106</c:v>
                </c:pt>
                <c:pt idx="102">
                  <c:v>107</c:v>
                </c:pt>
                <c:pt idx="103">
                  <c:v>108</c:v>
                </c:pt>
                <c:pt idx="104">
                  <c:v>109</c:v>
                </c:pt>
                <c:pt idx="105">
                  <c:v>110</c:v>
                </c:pt>
                <c:pt idx="106">
                  <c:v>111</c:v>
                </c:pt>
                <c:pt idx="107">
                  <c:v>112</c:v>
                </c:pt>
                <c:pt idx="108">
                  <c:v>113</c:v>
                </c:pt>
                <c:pt idx="109">
                  <c:v>114</c:v>
                </c:pt>
                <c:pt idx="110">
                  <c:v>115</c:v>
                </c:pt>
                <c:pt idx="111">
                  <c:v>116</c:v>
                </c:pt>
                <c:pt idx="112">
                  <c:v>117</c:v>
                </c:pt>
                <c:pt idx="113">
                  <c:v>118</c:v>
                </c:pt>
                <c:pt idx="114">
                  <c:v>119</c:v>
                </c:pt>
                <c:pt idx="115">
                  <c:v>120</c:v>
                </c:pt>
                <c:pt idx="116">
                  <c:v>121</c:v>
                </c:pt>
                <c:pt idx="117">
                  <c:v>122</c:v>
                </c:pt>
                <c:pt idx="118">
                  <c:v>123</c:v>
                </c:pt>
                <c:pt idx="119">
                  <c:v>124</c:v>
                </c:pt>
                <c:pt idx="120">
                  <c:v>125</c:v>
                </c:pt>
                <c:pt idx="121">
                  <c:v>126</c:v>
                </c:pt>
                <c:pt idx="122">
                  <c:v>127</c:v>
                </c:pt>
                <c:pt idx="123">
                  <c:v>128</c:v>
                </c:pt>
                <c:pt idx="124">
                  <c:v>129</c:v>
                </c:pt>
                <c:pt idx="125">
                  <c:v>130</c:v>
                </c:pt>
                <c:pt idx="126">
                  <c:v>131</c:v>
                </c:pt>
                <c:pt idx="127">
                  <c:v>132</c:v>
                </c:pt>
                <c:pt idx="128">
                  <c:v>133</c:v>
                </c:pt>
                <c:pt idx="129">
                  <c:v>134</c:v>
                </c:pt>
                <c:pt idx="130">
                  <c:v>135</c:v>
                </c:pt>
                <c:pt idx="131">
                  <c:v>136</c:v>
                </c:pt>
                <c:pt idx="132">
                  <c:v>137</c:v>
                </c:pt>
                <c:pt idx="133">
                  <c:v>138</c:v>
                </c:pt>
                <c:pt idx="134">
                  <c:v>139</c:v>
                </c:pt>
                <c:pt idx="135">
                  <c:v>140</c:v>
                </c:pt>
                <c:pt idx="136">
                  <c:v>141</c:v>
                </c:pt>
                <c:pt idx="137">
                  <c:v>142</c:v>
                </c:pt>
                <c:pt idx="138">
                  <c:v>143</c:v>
                </c:pt>
                <c:pt idx="139">
                  <c:v>144</c:v>
                </c:pt>
                <c:pt idx="140">
                  <c:v>145</c:v>
                </c:pt>
                <c:pt idx="141">
                  <c:v>146</c:v>
                </c:pt>
                <c:pt idx="142">
                  <c:v>147</c:v>
                </c:pt>
                <c:pt idx="143">
                  <c:v>148</c:v>
                </c:pt>
                <c:pt idx="144">
                  <c:v>149</c:v>
                </c:pt>
                <c:pt idx="145">
                  <c:v>150</c:v>
                </c:pt>
                <c:pt idx="146">
                  <c:v>151</c:v>
                </c:pt>
                <c:pt idx="147">
                  <c:v>152</c:v>
                </c:pt>
                <c:pt idx="148">
                  <c:v>153</c:v>
                </c:pt>
                <c:pt idx="149">
                  <c:v>154</c:v>
                </c:pt>
                <c:pt idx="150">
                  <c:v>155</c:v>
                </c:pt>
                <c:pt idx="151">
                  <c:v>156</c:v>
                </c:pt>
                <c:pt idx="152">
                  <c:v>157</c:v>
                </c:pt>
                <c:pt idx="153">
                  <c:v>158</c:v>
                </c:pt>
                <c:pt idx="154">
                  <c:v>159</c:v>
                </c:pt>
                <c:pt idx="155">
                  <c:v>160</c:v>
                </c:pt>
                <c:pt idx="156">
                  <c:v>161</c:v>
                </c:pt>
                <c:pt idx="157">
                  <c:v>162</c:v>
                </c:pt>
                <c:pt idx="158">
                  <c:v>163</c:v>
                </c:pt>
                <c:pt idx="159">
                  <c:v>164</c:v>
                </c:pt>
                <c:pt idx="160">
                  <c:v>165</c:v>
                </c:pt>
                <c:pt idx="161">
                  <c:v>166</c:v>
                </c:pt>
                <c:pt idx="162">
                  <c:v>167</c:v>
                </c:pt>
                <c:pt idx="163">
                  <c:v>168</c:v>
                </c:pt>
                <c:pt idx="164">
                  <c:v>169</c:v>
                </c:pt>
                <c:pt idx="165">
                  <c:v>170</c:v>
                </c:pt>
                <c:pt idx="166">
                  <c:v>171</c:v>
                </c:pt>
                <c:pt idx="167">
                  <c:v>172</c:v>
                </c:pt>
                <c:pt idx="168">
                  <c:v>173</c:v>
                </c:pt>
                <c:pt idx="169">
                  <c:v>174</c:v>
                </c:pt>
                <c:pt idx="170">
                  <c:v>175</c:v>
                </c:pt>
                <c:pt idx="171">
                  <c:v>176</c:v>
                </c:pt>
                <c:pt idx="172">
                  <c:v>177</c:v>
                </c:pt>
                <c:pt idx="173">
                  <c:v>178</c:v>
                </c:pt>
                <c:pt idx="174">
                  <c:v>179</c:v>
                </c:pt>
                <c:pt idx="175">
                  <c:v>180</c:v>
                </c:pt>
                <c:pt idx="176">
                  <c:v>181</c:v>
                </c:pt>
                <c:pt idx="177">
                  <c:v>182</c:v>
                </c:pt>
                <c:pt idx="178">
                  <c:v>183</c:v>
                </c:pt>
                <c:pt idx="179">
                  <c:v>184</c:v>
                </c:pt>
                <c:pt idx="180">
                  <c:v>185</c:v>
                </c:pt>
                <c:pt idx="181">
                  <c:v>186</c:v>
                </c:pt>
                <c:pt idx="182">
                  <c:v>187</c:v>
                </c:pt>
                <c:pt idx="183">
                  <c:v>188</c:v>
                </c:pt>
                <c:pt idx="184">
                  <c:v>189</c:v>
                </c:pt>
                <c:pt idx="185">
                  <c:v>190</c:v>
                </c:pt>
                <c:pt idx="186">
                  <c:v>191</c:v>
                </c:pt>
                <c:pt idx="187">
                  <c:v>192</c:v>
                </c:pt>
                <c:pt idx="188">
                  <c:v>193</c:v>
                </c:pt>
                <c:pt idx="189">
                  <c:v>194</c:v>
                </c:pt>
                <c:pt idx="190">
                  <c:v>195</c:v>
                </c:pt>
                <c:pt idx="191">
                  <c:v>196</c:v>
                </c:pt>
                <c:pt idx="192">
                  <c:v>197</c:v>
                </c:pt>
                <c:pt idx="193">
                  <c:v>198</c:v>
                </c:pt>
                <c:pt idx="194">
                  <c:v>199</c:v>
                </c:pt>
                <c:pt idx="195">
                  <c:v>200</c:v>
                </c:pt>
                <c:pt idx="196">
                  <c:v>201</c:v>
                </c:pt>
                <c:pt idx="197">
                  <c:v>202</c:v>
                </c:pt>
                <c:pt idx="198">
                  <c:v>203</c:v>
                </c:pt>
                <c:pt idx="199">
                  <c:v>204</c:v>
                </c:pt>
              </c:numCache>
            </c:numRef>
          </c:cat>
          <c:val>
            <c:numRef>
              <c:f>'tính toán thêm'!$V$2:$V$61</c:f>
              <c:numCache>
                <c:formatCode>[$VND]\ #,##0.00</c:formatCode>
                <c:ptCount val="60"/>
                <c:pt idx="0">
                  <c:v>850000</c:v>
                </c:pt>
                <c:pt idx="1">
                  <c:v>1020000</c:v>
                </c:pt>
                <c:pt idx="2">
                  <c:v>1190000</c:v>
                </c:pt>
                <c:pt idx="3">
                  <c:v>1360000</c:v>
                </c:pt>
                <c:pt idx="4">
                  <c:v>1530000</c:v>
                </c:pt>
                <c:pt idx="5">
                  <c:v>1700000</c:v>
                </c:pt>
                <c:pt idx="6">
                  <c:v>1870000</c:v>
                </c:pt>
                <c:pt idx="7">
                  <c:v>2040000</c:v>
                </c:pt>
                <c:pt idx="8">
                  <c:v>2210000</c:v>
                </c:pt>
                <c:pt idx="9">
                  <c:v>2380000</c:v>
                </c:pt>
                <c:pt idx="10">
                  <c:v>2550000</c:v>
                </c:pt>
                <c:pt idx="11">
                  <c:v>2720000</c:v>
                </c:pt>
                <c:pt idx="12">
                  <c:v>2890000</c:v>
                </c:pt>
                <c:pt idx="13">
                  <c:v>3060000</c:v>
                </c:pt>
                <c:pt idx="14">
                  <c:v>3230000</c:v>
                </c:pt>
                <c:pt idx="15">
                  <c:v>3400000</c:v>
                </c:pt>
                <c:pt idx="16">
                  <c:v>3570000</c:v>
                </c:pt>
                <c:pt idx="17">
                  <c:v>3740000</c:v>
                </c:pt>
                <c:pt idx="18">
                  <c:v>3910000</c:v>
                </c:pt>
                <c:pt idx="19">
                  <c:v>4080000</c:v>
                </c:pt>
                <c:pt idx="20">
                  <c:v>4250000</c:v>
                </c:pt>
                <c:pt idx="21">
                  <c:v>4420000</c:v>
                </c:pt>
                <c:pt idx="22">
                  <c:v>4590000</c:v>
                </c:pt>
                <c:pt idx="23">
                  <c:v>4760000</c:v>
                </c:pt>
                <c:pt idx="24">
                  <c:v>4930000</c:v>
                </c:pt>
                <c:pt idx="25">
                  <c:v>5100000</c:v>
                </c:pt>
                <c:pt idx="26">
                  <c:v>5270000</c:v>
                </c:pt>
                <c:pt idx="27">
                  <c:v>5440000</c:v>
                </c:pt>
                <c:pt idx="28">
                  <c:v>5610000</c:v>
                </c:pt>
                <c:pt idx="29">
                  <c:v>5780000</c:v>
                </c:pt>
                <c:pt idx="30">
                  <c:v>5950000</c:v>
                </c:pt>
                <c:pt idx="31">
                  <c:v>6120000</c:v>
                </c:pt>
                <c:pt idx="32">
                  <c:v>6290000</c:v>
                </c:pt>
                <c:pt idx="33">
                  <c:v>6460000</c:v>
                </c:pt>
                <c:pt idx="34">
                  <c:v>6630000</c:v>
                </c:pt>
                <c:pt idx="35">
                  <c:v>6800000</c:v>
                </c:pt>
                <c:pt idx="36">
                  <c:v>6970000</c:v>
                </c:pt>
                <c:pt idx="37">
                  <c:v>7140000</c:v>
                </c:pt>
                <c:pt idx="38">
                  <c:v>7310000</c:v>
                </c:pt>
                <c:pt idx="39">
                  <c:v>7480000</c:v>
                </c:pt>
                <c:pt idx="40">
                  <c:v>7650000</c:v>
                </c:pt>
                <c:pt idx="41">
                  <c:v>7820000</c:v>
                </c:pt>
                <c:pt idx="42">
                  <c:v>7990000</c:v>
                </c:pt>
                <c:pt idx="43">
                  <c:v>8160000</c:v>
                </c:pt>
                <c:pt idx="44">
                  <c:v>8330000</c:v>
                </c:pt>
                <c:pt idx="45">
                  <c:v>8500000</c:v>
                </c:pt>
                <c:pt idx="46">
                  <c:v>8670000</c:v>
                </c:pt>
                <c:pt idx="47">
                  <c:v>8840000</c:v>
                </c:pt>
                <c:pt idx="48">
                  <c:v>9010000</c:v>
                </c:pt>
                <c:pt idx="49">
                  <c:v>9180000</c:v>
                </c:pt>
                <c:pt idx="50">
                  <c:v>9350000</c:v>
                </c:pt>
                <c:pt idx="51">
                  <c:v>9520000</c:v>
                </c:pt>
                <c:pt idx="52">
                  <c:v>9690000</c:v>
                </c:pt>
                <c:pt idx="53">
                  <c:v>9860000</c:v>
                </c:pt>
                <c:pt idx="54">
                  <c:v>10030000</c:v>
                </c:pt>
                <c:pt idx="55">
                  <c:v>10200000</c:v>
                </c:pt>
                <c:pt idx="56">
                  <c:v>10370000</c:v>
                </c:pt>
                <c:pt idx="57">
                  <c:v>10540000</c:v>
                </c:pt>
                <c:pt idx="58">
                  <c:v>10710000</c:v>
                </c:pt>
                <c:pt idx="59">
                  <c:v>10880000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27-4719-91A2-FDA5F38C7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21824"/>
        <c:axId val="966118464"/>
      </c:lineChart>
      <c:catAx>
        <c:axId val="96612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966118464"/>
        <c:crosses val="autoZero"/>
        <c:auto val="1"/>
        <c:lblAlgn val="ctr"/>
        <c:lblOffset val="100"/>
        <c:noMultiLvlLbl val="0"/>
      </c:catAx>
      <c:valAx>
        <c:axId val="96611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VND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96612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 sánh</a:t>
            </a:r>
            <a:r>
              <a:rPr lang="en-US" baseline="0"/>
              <a:t> thuế không 8.5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0.26073490813648292"/>
          <c:y val="0.17634259259259263"/>
          <c:w val="0.70414457567804023"/>
          <c:h val="0.6153546952464275"/>
        </c:manualLayout>
      </c:layout>
      <c:lineChart>
        <c:grouping val="standard"/>
        <c:varyColors val="0"/>
        <c:ser>
          <c:idx val="3"/>
          <c:order val="0"/>
          <c:tx>
            <c:strRef>
              <c:f>'tính toán thêm'!$V$1</c:f>
              <c:strCache>
                <c:ptCount val="1"/>
                <c:pt idx="0">
                  <c:v>khoản tăng 17% trên mỗi đồng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'tính toán thêm'!$G$2:$G$201</c:f>
              <c:numCache>
                <c:formatCode>General</c:formatCode>
                <c:ptCount val="20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101</c:v>
                </c:pt>
                <c:pt idx="97">
                  <c:v>102</c:v>
                </c:pt>
                <c:pt idx="98">
                  <c:v>103</c:v>
                </c:pt>
                <c:pt idx="99">
                  <c:v>104</c:v>
                </c:pt>
                <c:pt idx="100">
                  <c:v>105</c:v>
                </c:pt>
                <c:pt idx="101">
                  <c:v>106</c:v>
                </c:pt>
                <c:pt idx="102">
                  <c:v>107</c:v>
                </c:pt>
                <c:pt idx="103">
                  <c:v>108</c:v>
                </c:pt>
                <c:pt idx="104">
                  <c:v>109</c:v>
                </c:pt>
                <c:pt idx="105">
                  <c:v>110</c:v>
                </c:pt>
                <c:pt idx="106">
                  <c:v>111</c:v>
                </c:pt>
                <c:pt idx="107">
                  <c:v>112</c:v>
                </c:pt>
                <c:pt idx="108">
                  <c:v>113</c:v>
                </c:pt>
                <c:pt idx="109">
                  <c:v>114</c:v>
                </c:pt>
                <c:pt idx="110">
                  <c:v>115</c:v>
                </c:pt>
                <c:pt idx="111">
                  <c:v>116</c:v>
                </c:pt>
                <c:pt idx="112">
                  <c:v>117</c:v>
                </c:pt>
                <c:pt idx="113">
                  <c:v>118</c:v>
                </c:pt>
                <c:pt idx="114">
                  <c:v>119</c:v>
                </c:pt>
                <c:pt idx="115">
                  <c:v>120</c:v>
                </c:pt>
                <c:pt idx="116">
                  <c:v>121</c:v>
                </c:pt>
                <c:pt idx="117">
                  <c:v>122</c:v>
                </c:pt>
                <c:pt idx="118">
                  <c:v>123</c:v>
                </c:pt>
                <c:pt idx="119">
                  <c:v>124</c:v>
                </c:pt>
                <c:pt idx="120">
                  <c:v>125</c:v>
                </c:pt>
                <c:pt idx="121">
                  <c:v>126</c:v>
                </c:pt>
                <c:pt idx="122">
                  <c:v>127</c:v>
                </c:pt>
                <c:pt idx="123">
                  <c:v>128</c:v>
                </c:pt>
                <c:pt idx="124">
                  <c:v>129</c:v>
                </c:pt>
                <c:pt idx="125">
                  <c:v>130</c:v>
                </c:pt>
                <c:pt idx="126">
                  <c:v>131</c:v>
                </c:pt>
                <c:pt idx="127">
                  <c:v>132</c:v>
                </c:pt>
                <c:pt idx="128">
                  <c:v>133</c:v>
                </c:pt>
                <c:pt idx="129">
                  <c:v>134</c:v>
                </c:pt>
                <c:pt idx="130">
                  <c:v>135</c:v>
                </c:pt>
                <c:pt idx="131">
                  <c:v>136</c:v>
                </c:pt>
                <c:pt idx="132">
                  <c:v>137</c:v>
                </c:pt>
                <c:pt idx="133">
                  <c:v>138</c:v>
                </c:pt>
                <c:pt idx="134">
                  <c:v>139</c:v>
                </c:pt>
                <c:pt idx="135">
                  <c:v>140</c:v>
                </c:pt>
                <c:pt idx="136">
                  <c:v>141</c:v>
                </c:pt>
                <c:pt idx="137">
                  <c:v>142</c:v>
                </c:pt>
                <c:pt idx="138">
                  <c:v>143</c:v>
                </c:pt>
                <c:pt idx="139">
                  <c:v>144</c:v>
                </c:pt>
                <c:pt idx="140">
                  <c:v>145</c:v>
                </c:pt>
                <c:pt idx="141">
                  <c:v>146</c:v>
                </c:pt>
                <c:pt idx="142">
                  <c:v>147</c:v>
                </c:pt>
                <c:pt idx="143">
                  <c:v>148</c:v>
                </c:pt>
                <c:pt idx="144">
                  <c:v>149</c:v>
                </c:pt>
                <c:pt idx="145">
                  <c:v>150</c:v>
                </c:pt>
                <c:pt idx="146">
                  <c:v>151</c:v>
                </c:pt>
                <c:pt idx="147">
                  <c:v>152</c:v>
                </c:pt>
                <c:pt idx="148">
                  <c:v>153</c:v>
                </c:pt>
                <c:pt idx="149">
                  <c:v>154</c:v>
                </c:pt>
                <c:pt idx="150">
                  <c:v>155</c:v>
                </c:pt>
                <c:pt idx="151">
                  <c:v>156</c:v>
                </c:pt>
                <c:pt idx="152">
                  <c:v>157</c:v>
                </c:pt>
                <c:pt idx="153">
                  <c:v>158</c:v>
                </c:pt>
                <c:pt idx="154">
                  <c:v>159</c:v>
                </c:pt>
                <c:pt idx="155">
                  <c:v>160</c:v>
                </c:pt>
                <c:pt idx="156">
                  <c:v>161</c:v>
                </c:pt>
                <c:pt idx="157">
                  <c:v>162</c:v>
                </c:pt>
                <c:pt idx="158">
                  <c:v>163</c:v>
                </c:pt>
                <c:pt idx="159">
                  <c:v>164</c:v>
                </c:pt>
                <c:pt idx="160">
                  <c:v>165</c:v>
                </c:pt>
                <c:pt idx="161">
                  <c:v>166</c:v>
                </c:pt>
                <c:pt idx="162">
                  <c:v>167</c:v>
                </c:pt>
                <c:pt idx="163">
                  <c:v>168</c:v>
                </c:pt>
                <c:pt idx="164">
                  <c:v>169</c:v>
                </c:pt>
                <c:pt idx="165">
                  <c:v>170</c:v>
                </c:pt>
                <c:pt idx="166">
                  <c:v>171</c:v>
                </c:pt>
                <c:pt idx="167">
                  <c:v>172</c:v>
                </c:pt>
                <c:pt idx="168">
                  <c:v>173</c:v>
                </c:pt>
                <c:pt idx="169">
                  <c:v>174</c:v>
                </c:pt>
                <c:pt idx="170">
                  <c:v>175</c:v>
                </c:pt>
                <c:pt idx="171">
                  <c:v>176</c:v>
                </c:pt>
                <c:pt idx="172">
                  <c:v>177</c:v>
                </c:pt>
                <c:pt idx="173">
                  <c:v>178</c:v>
                </c:pt>
                <c:pt idx="174">
                  <c:v>179</c:v>
                </c:pt>
                <c:pt idx="175">
                  <c:v>180</c:v>
                </c:pt>
                <c:pt idx="176">
                  <c:v>181</c:v>
                </c:pt>
                <c:pt idx="177">
                  <c:v>182</c:v>
                </c:pt>
                <c:pt idx="178">
                  <c:v>183</c:v>
                </c:pt>
                <c:pt idx="179">
                  <c:v>184</c:v>
                </c:pt>
                <c:pt idx="180">
                  <c:v>185</c:v>
                </c:pt>
                <c:pt idx="181">
                  <c:v>186</c:v>
                </c:pt>
                <c:pt idx="182">
                  <c:v>187</c:v>
                </c:pt>
                <c:pt idx="183">
                  <c:v>188</c:v>
                </c:pt>
                <c:pt idx="184">
                  <c:v>189</c:v>
                </c:pt>
                <c:pt idx="185">
                  <c:v>190</c:v>
                </c:pt>
                <c:pt idx="186">
                  <c:v>191</c:v>
                </c:pt>
                <c:pt idx="187">
                  <c:v>192</c:v>
                </c:pt>
                <c:pt idx="188">
                  <c:v>193</c:v>
                </c:pt>
                <c:pt idx="189">
                  <c:v>194</c:v>
                </c:pt>
                <c:pt idx="190">
                  <c:v>195</c:v>
                </c:pt>
                <c:pt idx="191">
                  <c:v>196</c:v>
                </c:pt>
                <c:pt idx="192">
                  <c:v>197</c:v>
                </c:pt>
                <c:pt idx="193">
                  <c:v>198</c:v>
                </c:pt>
                <c:pt idx="194">
                  <c:v>199</c:v>
                </c:pt>
                <c:pt idx="195">
                  <c:v>200</c:v>
                </c:pt>
                <c:pt idx="196">
                  <c:v>201</c:v>
                </c:pt>
                <c:pt idx="197">
                  <c:v>202</c:v>
                </c:pt>
                <c:pt idx="198">
                  <c:v>203</c:v>
                </c:pt>
                <c:pt idx="199">
                  <c:v>204</c:v>
                </c:pt>
              </c:numCache>
            </c:numRef>
          </c:cat>
          <c:val>
            <c:numRef>
              <c:f>'tính toán thêm'!$V$2:$V$201</c:f>
              <c:numCache>
                <c:formatCode>[$VND]\ #,##0.00</c:formatCode>
                <c:ptCount val="200"/>
                <c:pt idx="0">
                  <c:v>850000</c:v>
                </c:pt>
                <c:pt idx="1">
                  <c:v>1020000</c:v>
                </c:pt>
                <c:pt idx="2">
                  <c:v>1190000</c:v>
                </c:pt>
                <c:pt idx="3">
                  <c:v>1360000</c:v>
                </c:pt>
                <c:pt idx="4">
                  <c:v>1530000</c:v>
                </c:pt>
                <c:pt idx="5">
                  <c:v>1700000</c:v>
                </c:pt>
                <c:pt idx="6">
                  <c:v>1870000</c:v>
                </c:pt>
                <c:pt idx="7">
                  <c:v>2040000</c:v>
                </c:pt>
                <c:pt idx="8">
                  <c:v>2210000</c:v>
                </c:pt>
                <c:pt idx="9">
                  <c:v>2380000</c:v>
                </c:pt>
                <c:pt idx="10">
                  <c:v>2550000</c:v>
                </c:pt>
                <c:pt idx="11">
                  <c:v>2720000</c:v>
                </c:pt>
                <c:pt idx="12">
                  <c:v>2890000</c:v>
                </c:pt>
                <c:pt idx="13">
                  <c:v>3060000</c:v>
                </c:pt>
                <c:pt idx="14">
                  <c:v>3230000</c:v>
                </c:pt>
                <c:pt idx="15">
                  <c:v>3400000</c:v>
                </c:pt>
                <c:pt idx="16">
                  <c:v>3570000</c:v>
                </c:pt>
                <c:pt idx="17">
                  <c:v>3740000</c:v>
                </c:pt>
                <c:pt idx="18">
                  <c:v>3910000</c:v>
                </c:pt>
                <c:pt idx="19">
                  <c:v>4080000</c:v>
                </c:pt>
                <c:pt idx="20">
                  <c:v>4250000</c:v>
                </c:pt>
                <c:pt idx="21">
                  <c:v>4420000</c:v>
                </c:pt>
                <c:pt idx="22">
                  <c:v>4590000</c:v>
                </c:pt>
                <c:pt idx="23">
                  <c:v>4760000</c:v>
                </c:pt>
                <c:pt idx="24">
                  <c:v>4930000</c:v>
                </c:pt>
                <c:pt idx="25">
                  <c:v>5100000</c:v>
                </c:pt>
                <c:pt idx="26">
                  <c:v>5270000</c:v>
                </c:pt>
                <c:pt idx="27">
                  <c:v>5440000</c:v>
                </c:pt>
                <c:pt idx="28">
                  <c:v>5610000</c:v>
                </c:pt>
                <c:pt idx="29">
                  <c:v>5780000</c:v>
                </c:pt>
                <c:pt idx="30">
                  <c:v>5950000</c:v>
                </c:pt>
                <c:pt idx="31">
                  <c:v>6120000</c:v>
                </c:pt>
                <c:pt idx="32">
                  <c:v>6290000</c:v>
                </c:pt>
                <c:pt idx="33">
                  <c:v>6460000</c:v>
                </c:pt>
                <c:pt idx="34">
                  <c:v>6630000</c:v>
                </c:pt>
                <c:pt idx="35">
                  <c:v>6800000</c:v>
                </c:pt>
                <c:pt idx="36">
                  <c:v>6970000</c:v>
                </c:pt>
                <c:pt idx="37">
                  <c:v>7140000</c:v>
                </c:pt>
                <c:pt idx="38">
                  <c:v>7310000</c:v>
                </c:pt>
                <c:pt idx="39">
                  <c:v>7480000</c:v>
                </c:pt>
                <c:pt idx="40">
                  <c:v>7650000</c:v>
                </c:pt>
                <c:pt idx="41">
                  <c:v>7820000</c:v>
                </c:pt>
                <c:pt idx="42">
                  <c:v>7990000</c:v>
                </c:pt>
                <c:pt idx="43">
                  <c:v>8160000</c:v>
                </c:pt>
                <c:pt idx="44">
                  <c:v>8330000</c:v>
                </c:pt>
                <c:pt idx="45">
                  <c:v>8500000</c:v>
                </c:pt>
                <c:pt idx="46">
                  <c:v>8670000</c:v>
                </c:pt>
                <c:pt idx="47">
                  <c:v>8840000</c:v>
                </c:pt>
                <c:pt idx="48">
                  <c:v>9010000</c:v>
                </c:pt>
                <c:pt idx="49">
                  <c:v>9180000</c:v>
                </c:pt>
                <c:pt idx="50">
                  <c:v>9350000</c:v>
                </c:pt>
                <c:pt idx="51">
                  <c:v>9520000</c:v>
                </c:pt>
                <c:pt idx="52">
                  <c:v>9690000</c:v>
                </c:pt>
                <c:pt idx="53">
                  <c:v>9860000</c:v>
                </c:pt>
                <c:pt idx="54">
                  <c:v>10030000</c:v>
                </c:pt>
                <c:pt idx="55">
                  <c:v>10200000</c:v>
                </c:pt>
                <c:pt idx="56">
                  <c:v>10370000</c:v>
                </c:pt>
                <c:pt idx="57">
                  <c:v>10540000</c:v>
                </c:pt>
                <c:pt idx="58">
                  <c:v>10710000</c:v>
                </c:pt>
                <c:pt idx="59">
                  <c:v>10880000</c:v>
                </c:pt>
                <c:pt idx="60">
                  <c:v>11050000</c:v>
                </c:pt>
                <c:pt idx="61">
                  <c:v>11220000</c:v>
                </c:pt>
                <c:pt idx="62">
                  <c:v>11390000</c:v>
                </c:pt>
                <c:pt idx="63">
                  <c:v>11560000</c:v>
                </c:pt>
                <c:pt idx="64">
                  <c:v>11730000</c:v>
                </c:pt>
                <c:pt idx="65">
                  <c:v>11900000</c:v>
                </c:pt>
                <c:pt idx="66">
                  <c:v>12070000</c:v>
                </c:pt>
                <c:pt idx="67">
                  <c:v>12240000</c:v>
                </c:pt>
                <c:pt idx="68">
                  <c:v>12410000</c:v>
                </c:pt>
                <c:pt idx="69">
                  <c:v>12580000</c:v>
                </c:pt>
                <c:pt idx="70">
                  <c:v>12750000</c:v>
                </c:pt>
                <c:pt idx="71">
                  <c:v>12920000</c:v>
                </c:pt>
                <c:pt idx="72">
                  <c:v>13090000</c:v>
                </c:pt>
                <c:pt idx="73">
                  <c:v>13260000</c:v>
                </c:pt>
                <c:pt idx="74">
                  <c:v>13430000</c:v>
                </c:pt>
                <c:pt idx="75">
                  <c:v>13600000</c:v>
                </c:pt>
                <c:pt idx="76">
                  <c:v>13770000</c:v>
                </c:pt>
                <c:pt idx="77">
                  <c:v>13940000</c:v>
                </c:pt>
                <c:pt idx="78">
                  <c:v>14110000</c:v>
                </c:pt>
                <c:pt idx="79">
                  <c:v>14280000</c:v>
                </c:pt>
                <c:pt idx="80">
                  <c:v>14450000</c:v>
                </c:pt>
                <c:pt idx="81">
                  <c:v>14620000</c:v>
                </c:pt>
                <c:pt idx="82">
                  <c:v>14790000</c:v>
                </c:pt>
                <c:pt idx="83">
                  <c:v>14960000</c:v>
                </c:pt>
                <c:pt idx="84">
                  <c:v>15130000</c:v>
                </c:pt>
                <c:pt idx="85">
                  <c:v>15300000</c:v>
                </c:pt>
                <c:pt idx="86">
                  <c:v>15470000</c:v>
                </c:pt>
                <c:pt idx="87">
                  <c:v>15640000</c:v>
                </c:pt>
                <c:pt idx="88">
                  <c:v>15810000</c:v>
                </c:pt>
                <c:pt idx="89">
                  <c:v>15980000</c:v>
                </c:pt>
                <c:pt idx="90">
                  <c:v>16150000</c:v>
                </c:pt>
                <c:pt idx="91">
                  <c:v>16320000</c:v>
                </c:pt>
                <c:pt idx="92">
                  <c:v>16490000</c:v>
                </c:pt>
                <c:pt idx="93">
                  <c:v>16660000</c:v>
                </c:pt>
                <c:pt idx="94">
                  <c:v>16830000</c:v>
                </c:pt>
                <c:pt idx="95">
                  <c:v>17000000</c:v>
                </c:pt>
                <c:pt idx="96">
                  <c:v>17170000</c:v>
                </c:pt>
                <c:pt idx="97">
                  <c:v>17340000</c:v>
                </c:pt>
                <c:pt idx="98">
                  <c:v>17510000</c:v>
                </c:pt>
                <c:pt idx="99">
                  <c:v>17680000</c:v>
                </c:pt>
                <c:pt idx="100">
                  <c:v>17850000</c:v>
                </c:pt>
                <c:pt idx="101">
                  <c:v>18020000</c:v>
                </c:pt>
                <c:pt idx="102">
                  <c:v>18190000</c:v>
                </c:pt>
                <c:pt idx="103">
                  <c:v>18360000</c:v>
                </c:pt>
                <c:pt idx="104">
                  <c:v>18530000</c:v>
                </c:pt>
                <c:pt idx="105">
                  <c:v>18700000</c:v>
                </c:pt>
                <c:pt idx="106">
                  <c:v>18870000</c:v>
                </c:pt>
                <c:pt idx="107">
                  <c:v>19040000</c:v>
                </c:pt>
                <c:pt idx="108">
                  <c:v>19210000</c:v>
                </c:pt>
                <c:pt idx="109">
                  <c:v>19380000</c:v>
                </c:pt>
                <c:pt idx="110">
                  <c:v>19550000</c:v>
                </c:pt>
                <c:pt idx="111">
                  <c:v>19720000</c:v>
                </c:pt>
                <c:pt idx="112">
                  <c:v>19890000</c:v>
                </c:pt>
                <c:pt idx="113">
                  <c:v>20060000</c:v>
                </c:pt>
                <c:pt idx="114">
                  <c:v>20230000</c:v>
                </c:pt>
                <c:pt idx="115">
                  <c:v>20400000</c:v>
                </c:pt>
                <c:pt idx="116">
                  <c:v>20570000</c:v>
                </c:pt>
                <c:pt idx="117">
                  <c:v>20740000</c:v>
                </c:pt>
                <c:pt idx="118">
                  <c:v>20910000</c:v>
                </c:pt>
                <c:pt idx="119">
                  <c:v>21080000</c:v>
                </c:pt>
                <c:pt idx="120">
                  <c:v>21250000</c:v>
                </c:pt>
                <c:pt idx="121">
                  <c:v>21420000</c:v>
                </c:pt>
                <c:pt idx="122">
                  <c:v>21590000</c:v>
                </c:pt>
                <c:pt idx="123">
                  <c:v>21760000</c:v>
                </c:pt>
                <c:pt idx="124">
                  <c:v>21930000</c:v>
                </c:pt>
                <c:pt idx="125">
                  <c:v>22100000</c:v>
                </c:pt>
                <c:pt idx="126">
                  <c:v>22270000</c:v>
                </c:pt>
                <c:pt idx="127">
                  <c:v>22440000</c:v>
                </c:pt>
                <c:pt idx="128">
                  <c:v>22610000</c:v>
                </c:pt>
                <c:pt idx="129">
                  <c:v>22780000</c:v>
                </c:pt>
                <c:pt idx="130">
                  <c:v>22950000</c:v>
                </c:pt>
                <c:pt idx="131">
                  <c:v>23120000</c:v>
                </c:pt>
                <c:pt idx="132">
                  <c:v>23290000</c:v>
                </c:pt>
                <c:pt idx="133">
                  <c:v>23460000</c:v>
                </c:pt>
                <c:pt idx="134">
                  <c:v>23630000</c:v>
                </c:pt>
                <c:pt idx="135">
                  <c:v>23800000</c:v>
                </c:pt>
                <c:pt idx="136">
                  <c:v>23970000</c:v>
                </c:pt>
                <c:pt idx="137">
                  <c:v>24140000</c:v>
                </c:pt>
                <c:pt idx="138">
                  <c:v>24310000</c:v>
                </c:pt>
                <c:pt idx="139">
                  <c:v>24480000</c:v>
                </c:pt>
                <c:pt idx="140">
                  <c:v>24650000</c:v>
                </c:pt>
                <c:pt idx="141">
                  <c:v>24820000</c:v>
                </c:pt>
                <c:pt idx="142">
                  <c:v>24990000</c:v>
                </c:pt>
                <c:pt idx="143">
                  <c:v>25160000</c:v>
                </c:pt>
                <c:pt idx="144">
                  <c:v>25330000</c:v>
                </c:pt>
                <c:pt idx="145">
                  <c:v>25500000</c:v>
                </c:pt>
                <c:pt idx="146">
                  <c:v>25670000</c:v>
                </c:pt>
                <c:pt idx="147">
                  <c:v>25840000</c:v>
                </c:pt>
                <c:pt idx="148">
                  <c:v>26010000</c:v>
                </c:pt>
                <c:pt idx="149">
                  <c:v>26180000</c:v>
                </c:pt>
                <c:pt idx="150">
                  <c:v>26350000</c:v>
                </c:pt>
                <c:pt idx="151">
                  <c:v>26520000</c:v>
                </c:pt>
                <c:pt idx="152">
                  <c:v>26690000</c:v>
                </c:pt>
                <c:pt idx="153">
                  <c:v>26860000</c:v>
                </c:pt>
                <c:pt idx="154">
                  <c:v>27030000</c:v>
                </c:pt>
                <c:pt idx="155">
                  <c:v>27200000</c:v>
                </c:pt>
                <c:pt idx="156">
                  <c:v>27370000</c:v>
                </c:pt>
                <c:pt idx="157">
                  <c:v>27540000</c:v>
                </c:pt>
                <c:pt idx="158">
                  <c:v>27710000</c:v>
                </c:pt>
                <c:pt idx="159">
                  <c:v>27880000</c:v>
                </c:pt>
                <c:pt idx="160">
                  <c:v>28050000</c:v>
                </c:pt>
                <c:pt idx="161">
                  <c:v>28220000</c:v>
                </c:pt>
                <c:pt idx="162">
                  <c:v>28390000</c:v>
                </c:pt>
                <c:pt idx="163">
                  <c:v>28560000</c:v>
                </c:pt>
                <c:pt idx="164">
                  <c:v>28730000</c:v>
                </c:pt>
                <c:pt idx="165">
                  <c:v>28900000</c:v>
                </c:pt>
                <c:pt idx="166">
                  <c:v>29070000</c:v>
                </c:pt>
                <c:pt idx="167">
                  <c:v>29240000</c:v>
                </c:pt>
                <c:pt idx="168">
                  <c:v>29410000</c:v>
                </c:pt>
                <c:pt idx="169">
                  <c:v>29580000</c:v>
                </c:pt>
                <c:pt idx="170">
                  <c:v>29750000</c:v>
                </c:pt>
                <c:pt idx="171">
                  <c:v>29920000</c:v>
                </c:pt>
                <c:pt idx="172">
                  <c:v>30090000</c:v>
                </c:pt>
                <c:pt idx="173">
                  <c:v>30260000</c:v>
                </c:pt>
                <c:pt idx="174">
                  <c:v>30430000</c:v>
                </c:pt>
                <c:pt idx="175">
                  <c:v>30600000</c:v>
                </c:pt>
                <c:pt idx="176">
                  <c:v>30770000</c:v>
                </c:pt>
                <c:pt idx="177">
                  <c:v>30940000</c:v>
                </c:pt>
                <c:pt idx="178">
                  <c:v>31110000</c:v>
                </c:pt>
                <c:pt idx="179">
                  <c:v>31280000</c:v>
                </c:pt>
                <c:pt idx="180">
                  <c:v>31450000</c:v>
                </c:pt>
                <c:pt idx="181">
                  <c:v>31620000</c:v>
                </c:pt>
                <c:pt idx="182">
                  <c:v>31790000</c:v>
                </c:pt>
                <c:pt idx="183">
                  <c:v>31960000</c:v>
                </c:pt>
                <c:pt idx="184">
                  <c:v>32130000</c:v>
                </c:pt>
                <c:pt idx="185">
                  <c:v>32300000</c:v>
                </c:pt>
                <c:pt idx="186">
                  <c:v>32470000</c:v>
                </c:pt>
                <c:pt idx="187">
                  <c:v>32640000</c:v>
                </c:pt>
                <c:pt idx="188">
                  <c:v>32810000</c:v>
                </c:pt>
                <c:pt idx="189">
                  <c:v>32980000</c:v>
                </c:pt>
                <c:pt idx="190">
                  <c:v>33150000</c:v>
                </c:pt>
                <c:pt idx="191">
                  <c:v>33320000</c:v>
                </c:pt>
                <c:pt idx="192">
                  <c:v>33490000</c:v>
                </c:pt>
                <c:pt idx="193">
                  <c:v>33660000</c:v>
                </c:pt>
                <c:pt idx="194">
                  <c:v>33830000</c:v>
                </c:pt>
                <c:pt idx="195">
                  <c:v>34000000</c:v>
                </c:pt>
                <c:pt idx="196">
                  <c:v>34170000</c:v>
                </c:pt>
                <c:pt idx="197">
                  <c:v>34340000</c:v>
                </c:pt>
                <c:pt idx="198">
                  <c:v>34510000</c:v>
                </c:pt>
                <c:pt idx="199">
                  <c:v>34680000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27-4719-91A2-FDA5F38C7120}"/>
            </c:ext>
          </c:extLst>
        </c:ser>
        <c:ser>
          <c:idx val="0"/>
          <c:order val="1"/>
          <c:tx>
            <c:strRef>
              <c:f>'tính toán thêm'!$S$1</c:f>
              <c:strCache>
                <c:ptCount val="1"/>
                <c:pt idx="0">
                  <c:v>thuế thu nhập cá nhân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'tính toán thêm'!$G$2:$G$201</c:f>
              <c:numCache>
                <c:formatCode>General</c:formatCode>
                <c:ptCount val="20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101</c:v>
                </c:pt>
                <c:pt idx="97">
                  <c:v>102</c:v>
                </c:pt>
                <c:pt idx="98">
                  <c:v>103</c:v>
                </c:pt>
                <c:pt idx="99">
                  <c:v>104</c:v>
                </c:pt>
                <c:pt idx="100">
                  <c:v>105</c:v>
                </c:pt>
                <c:pt idx="101">
                  <c:v>106</c:v>
                </c:pt>
                <c:pt idx="102">
                  <c:v>107</c:v>
                </c:pt>
                <c:pt idx="103">
                  <c:v>108</c:v>
                </c:pt>
                <c:pt idx="104">
                  <c:v>109</c:v>
                </c:pt>
                <c:pt idx="105">
                  <c:v>110</c:v>
                </c:pt>
                <c:pt idx="106">
                  <c:v>111</c:v>
                </c:pt>
                <c:pt idx="107">
                  <c:v>112</c:v>
                </c:pt>
                <c:pt idx="108">
                  <c:v>113</c:v>
                </c:pt>
                <c:pt idx="109">
                  <c:v>114</c:v>
                </c:pt>
                <c:pt idx="110">
                  <c:v>115</c:v>
                </c:pt>
                <c:pt idx="111">
                  <c:v>116</c:v>
                </c:pt>
                <c:pt idx="112">
                  <c:v>117</c:v>
                </c:pt>
                <c:pt idx="113">
                  <c:v>118</c:v>
                </c:pt>
                <c:pt idx="114">
                  <c:v>119</c:v>
                </c:pt>
                <c:pt idx="115">
                  <c:v>120</c:v>
                </c:pt>
                <c:pt idx="116">
                  <c:v>121</c:v>
                </c:pt>
                <c:pt idx="117">
                  <c:v>122</c:v>
                </c:pt>
                <c:pt idx="118">
                  <c:v>123</c:v>
                </c:pt>
                <c:pt idx="119">
                  <c:v>124</c:v>
                </c:pt>
                <c:pt idx="120">
                  <c:v>125</c:v>
                </c:pt>
                <c:pt idx="121">
                  <c:v>126</c:v>
                </c:pt>
                <c:pt idx="122">
                  <c:v>127</c:v>
                </c:pt>
                <c:pt idx="123">
                  <c:v>128</c:v>
                </c:pt>
                <c:pt idx="124">
                  <c:v>129</c:v>
                </c:pt>
                <c:pt idx="125">
                  <c:v>130</c:v>
                </c:pt>
                <c:pt idx="126">
                  <c:v>131</c:v>
                </c:pt>
                <c:pt idx="127">
                  <c:v>132</c:v>
                </c:pt>
                <c:pt idx="128">
                  <c:v>133</c:v>
                </c:pt>
                <c:pt idx="129">
                  <c:v>134</c:v>
                </c:pt>
                <c:pt idx="130">
                  <c:v>135</c:v>
                </c:pt>
                <c:pt idx="131">
                  <c:v>136</c:v>
                </c:pt>
                <c:pt idx="132">
                  <c:v>137</c:v>
                </c:pt>
                <c:pt idx="133">
                  <c:v>138</c:v>
                </c:pt>
                <c:pt idx="134">
                  <c:v>139</c:v>
                </c:pt>
                <c:pt idx="135">
                  <c:v>140</c:v>
                </c:pt>
                <c:pt idx="136">
                  <c:v>141</c:v>
                </c:pt>
                <c:pt idx="137">
                  <c:v>142</c:v>
                </c:pt>
                <c:pt idx="138">
                  <c:v>143</c:v>
                </c:pt>
                <c:pt idx="139">
                  <c:v>144</c:v>
                </c:pt>
                <c:pt idx="140">
                  <c:v>145</c:v>
                </c:pt>
                <c:pt idx="141">
                  <c:v>146</c:v>
                </c:pt>
                <c:pt idx="142">
                  <c:v>147</c:v>
                </c:pt>
                <c:pt idx="143">
                  <c:v>148</c:v>
                </c:pt>
                <c:pt idx="144">
                  <c:v>149</c:v>
                </c:pt>
                <c:pt idx="145">
                  <c:v>150</c:v>
                </c:pt>
                <c:pt idx="146">
                  <c:v>151</c:v>
                </c:pt>
                <c:pt idx="147">
                  <c:v>152</c:v>
                </c:pt>
                <c:pt idx="148">
                  <c:v>153</c:v>
                </c:pt>
                <c:pt idx="149">
                  <c:v>154</c:v>
                </c:pt>
                <c:pt idx="150">
                  <c:v>155</c:v>
                </c:pt>
                <c:pt idx="151">
                  <c:v>156</c:v>
                </c:pt>
                <c:pt idx="152">
                  <c:v>157</c:v>
                </c:pt>
                <c:pt idx="153">
                  <c:v>158</c:v>
                </c:pt>
                <c:pt idx="154">
                  <c:v>159</c:v>
                </c:pt>
                <c:pt idx="155">
                  <c:v>160</c:v>
                </c:pt>
                <c:pt idx="156">
                  <c:v>161</c:v>
                </c:pt>
                <c:pt idx="157">
                  <c:v>162</c:v>
                </c:pt>
                <c:pt idx="158">
                  <c:v>163</c:v>
                </c:pt>
                <c:pt idx="159">
                  <c:v>164</c:v>
                </c:pt>
                <c:pt idx="160">
                  <c:v>165</c:v>
                </c:pt>
                <c:pt idx="161">
                  <c:v>166</c:v>
                </c:pt>
                <c:pt idx="162">
                  <c:v>167</c:v>
                </c:pt>
                <c:pt idx="163">
                  <c:v>168</c:v>
                </c:pt>
                <c:pt idx="164">
                  <c:v>169</c:v>
                </c:pt>
                <c:pt idx="165">
                  <c:v>170</c:v>
                </c:pt>
                <c:pt idx="166">
                  <c:v>171</c:v>
                </c:pt>
                <c:pt idx="167">
                  <c:v>172</c:v>
                </c:pt>
                <c:pt idx="168">
                  <c:v>173</c:v>
                </c:pt>
                <c:pt idx="169">
                  <c:v>174</c:v>
                </c:pt>
                <c:pt idx="170">
                  <c:v>175</c:v>
                </c:pt>
                <c:pt idx="171">
                  <c:v>176</c:v>
                </c:pt>
                <c:pt idx="172">
                  <c:v>177</c:v>
                </c:pt>
                <c:pt idx="173">
                  <c:v>178</c:v>
                </c:pt>
                <c:pt idx="174">
                  <c:v>179</c:v>
                </c:pt>
                <c:pt idx="175">
                  <c:v>180</c:v>
                </c:pt>
                <c:pt idx="176">
                  <c:v>181</c:v>
                </c:pt>
                <c:pt idx="177">
                  <c:v>182</c:v>
                </c:pt>
                <c:pt idx="178">
                  <c:v>183</c:v>
                </c:pt>
                <c:pt idx="179">
                  <c:v>184</c:v>
                </c:pt>
                <c:pt idx="180">
                  <c:v>185</c:v>
                </c:pt>
                <c:pt idx="181">
                  <c:v>186</c:v>
                </c:pt>
                <c:pt idx="182">
                  <c:v>187</c:v>
                </c:pt>
                <c:pt idx="183">
                  <c:v>188</c:v>
                </c:pt>
                <c:pt idx="184">
                  <c:v>189</c:v>
                </c:pt>
                <c:pt idx="185">
                  <c:v>190</c:v>
                </c:pt>
                <c:pt idx="186">
                  <c:v>191</c:v>
                </c:pt>
                <c:pt idx="187">
                  <c:v>192</c:v>
                </c:pt>
                <c:pt idx="188">
                  <c:v>193</c:v>
                </c:pt>
                <c:pt idx="189">
                  <c:v>194</c:v>
                </c:pt>
                <c:pt idx="190">
                  <c:v>195</c:v>
                </c:pt>
                <c:pt idx="191">
                  <c:v>196</c:v>
                </c:pt>
                <c:pt idx="192">
                  <c:v>197</c:v>
                </c:pt>
                <c:pt idx="193">
                  <c:v>198</c:v>
                </c:pt>
                <c:pt idx="194">
                  <c:v>199</c:v>
                </c:pt>
                <c:pt idx="195">
                  <c:v>200</c:v>
                </c:pt>
                <c:pt idx="196">
                  <c:v>201</c:v>
                </c:pt>
                <c:pt idx="197">
                  <c:v>202</c:v>
                </c:pt>
                <c:pt idx="198">
                  <c:v>203</c:v>
                </c:pt>
                <c:pt idx="199">
                  <c:v>204</c:v>
                </c:pt>
              </c:numCache>
            </c:numRef>
          </c:cat>
          <c:val>
            <c:numRef>
              <c:f>'tính toán thêm'!$S$2:$S$201</c:f>
              <c:numCache>
                <c:formatCode>[$VND]\ #,##0.00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23500</c:v>
                </c:pt>
                <c:pt idx="14">
                  <c:v>69250</c:v>
                </c:pt>
                <c:pt idx="15">
                  <c:v>115000</c:v>
                </c:pt>
                <c:pt idx="16">
                  <c:v>160750</c:v>
                </c:pt>
                <c:pt idx="17">
                  <c:v>206500</c:v>
                </c:pt>
                <c:pt idx="18">
                  <c:v>254500</c:v>
                </c:pt>
                <c:pt idx="19">
                  <c:v>346000</c:v>
                </c:pt>
                <c:pt idx="20">
                  <c:v>437500</c:v>
                </c:pt>
                <c:pt idx="21">
                  <c:v>529000</c:v>
                </c:pt>
                <c:pt idx="22">
                  <c:v>620500</c:v>
                </c:pt>
                <c:pt idx="23">
                  <c:v>712000.00000000023</c:v>
                </c:pt>
                <c:pt idx="24">
                  <c:v>830250</c:v>
                </c:pt>
                <c:pt idx="25">
                  <c:v>967500</c:v>
                </c:pt>
                <c:pt idx="26">
                  <c:v>1104750</c:v>
                </c:pt>
                <c:pt idx="27">
                  <c:v>1242000</c:v>
                </c:pt>
                <c:pt idx="28">
                  <c:v>1379250</c:v>
                </c:pt>
                <c:pt idx="29">
                  <c:v>1516500</c:v>
                </c:pt>
                <c:pt idx="30">
                  <c:v>1653749.9999999995</c:v>
                </c:pt>
                <c:pt idx="31">
                  <c:v>1791000</c:v>
                </c:pt>
                <c:pt idx="32">
                  <c:v>1928250</c:v>
                </c:pt>
                <c:pt idx="33">
                  <c:v>2104000</c:v>
                </c:pt>
                <c:pt idx="34">
                  <c:v>2287000</c:v>
                </c:pt>
                <c:pt idx="35">
                  <c:v>2470000</c:v>
                </c:pt>
                <c:pt idx="36">
                  <c:v>2653000</c:v>
                </c:pt>
                <c:pt idx="37">
                  <c:v>2836000</c:v>
                </c:pt>
                <c:pt idx="38">
                  <c:v>3019000</c:v>
                </c:pt>
                <c:pt idx="39">
                  <c:v>3201999.9999999991</c:v>
                </c:pt>
                <c:pt idx="40">
                  <c:v>3385000</c:v>
                </c:pt>
                <c:pt idx="41">
                  <c:v>3568000</c:v>
                </c:pt>
                <c:pt idx="42">
                  <c:v>3751000</c:v>
                </c:pt>
                <c:pt idx="43">
                  <c:v>3934000</c:v>
                </c:pt>
                <c:pt idx="44">
                  <c:v>4117000</c:v>
                </c:pt>
                <c:pt idx="45">
                  <c:v>4300000</c:v>
                </c:pt>
                <c:pt idx="46">
                  <c:v>4483000</c:v>
                </c:pt>
                <c:pt idx="47">
                  <c:v>4666000</c:v>
                </c:pt>
                <c:pt idx="48">
                  <c:v>4873749.9999999991</c:v>
                </c:pt>
                <c:pt idx="49">
                  <c:v>5102499.9999999991</c:v>
                </c:pt>
                <c:pt idx="50">
                  <c:v>5331250</c:v>
                </c:pt>
                <c:pt idx="51">
                  <c:v>5560000</c:v>
                </c:pt>
                <c:pt idx="52">
                  <c:v>5788750</c:v>
                </c:pt>
                <c:pt idx="53">
                  <c:v>6017500</c:v>
                </c:pt>
                <c:pt idx="54">
                  <c:v>6246250</c:v>
                </c:pt>
                <c:pt idx="55">
                  <c:v>6475000</c:v>
                </c:pt>
                <c:pt idx="56">
                  <c:v>6703750</c:v>
                </c:pt>
                <c:pt idx="57">
                  <c:v>6932500.0000000019</c:v>
                </c:pt>
                <c:pt idx="58">
                  <c:v>7161249.9999999981</c:v>
                </c:pt>
                <c:pt idx="59">
                  <c:v>7390000</c:v>
                </c:pt>
                <c:pt idx="60">
                  <c:v>7618750</c:v>
                </c:pt>
                <c:pt idx="61">
                  <c:v>7847500</c:v>
                </c:pt>
                <c:pt idx="62">
                  <c:v>8076250</c:v>
                </c:pt>
                <c:pt idx="63">
                  <c:v>8305000</c:v>
                </c:pt>
                <c:pt idx="64">
                  <c:v>8533750</c:v>
                </c:pt>
                <c:pt idx="65">
                  <c:v>8762500</c:v>
                </c:pt>
                <c:pt idx="66">
                  <c:v>8991250</c:v>
                </c:pt>
                <c:pt idx="67">
                  <c:v>9220000</c:v>
                </c:pt>
                <c:pt idx="68">
                  <c:v>9448750</c:v>
                </c:pt>
                <c:pt idx="69">
                  <c:v>9677500</c:v>
                </c:pt>
                <c:pt idx="70">
                  <c:v>9937500</c:v>
                </c:pt>
                <c:pt idx="71">
                  <c:v>10212000</c:v>
                </c:pt>
                <c:pt idx="72">
                  <c:v>10486500</c:v>
                </c:pt>
                <c:pt idx="73">
                  <c:v>10761000</c:v>
                </c:pt>
                <c:pt idx="74">
                  <c:v>11035500</c:v>
                </c:pt>
                <c:pt idx="75">
                  <c:v>11310000</c:v>
                </c:pt>
                <c:pt idx="76">
                  <c:v>11584500</c:v>
                </c:pt>
                <c:pt idx="77">
                  <c:v>11859000</c:v>
                </c:pt>
                <c:pt idx="78">
                  <c:v>12133500</c:v>
                </c:pt>
                <c:pt idx="79">
                  <c:v>12408000</c:v>
                </c:pt>
                <c:pt idx="80">
                  <c:v>12682500</c:v>
                </c:pt>
                <c:pt idx="81">
                  <c:v>12957000</c:v>
                </c:pt>
                <c:pt idx="82">
                  <c:v>13231500</c:v>
                </c:pt>
                <c:pt idx="83">
                  <c:v>13505999.999999996</c:v>
                </c:pt>
                <c:pt idx="84">
                  <c:v>13780500</c:v>
                </c:pt>
                <c:pt idx="85">
                  <c:v>14054999.999999996</c:v>
                </c:pt>
                <c:pt idx="86">
                  <c:v>14329500</c:v>
                </c:pt>
                <c:pt idx="87">
                  <c:v>14604000</c:v>
                </c:pt>
                <c:pt idx="88">
                  <c:v>14878500</c:v>
                </c:pt>
                <c:pt idx="89">
                  <c:v>15153000</c:v>
                </c:pt>
                <c:pt idx="90">
                  <c:v>15427500</c:v>
                </c:pt>
                <c:pt idx="91">
                  <c:v>15702000</c:v>
                </c:pt>
                <c:pt idx="92">
                  <c:v>15976500</c:v>
                </c:pt>
                <c:pt idx="93">
                  <c:v>16251000</c:v>
                </c:pt>
                <c:pt idx="94">
                  <c:v>16525500.000000004</c:v>
                </c:pt>
                <c:pt idx="95">
                  <c:v>16800000</c:v>
                </c:pt>
                <c:pt idx="96">
                  <c:v>17074499.999999996</c:v>
                </c:pt>
                <c:pt idx="97">
                  <c:v>17349000</c:v>
                </c:pt>
                <c:pt idx="98">
                  <c:v>17623500</c:v>
                </c:pt>
                <c:pt idx="99">
                  <c:v>17898000</c:v>
                </c:pt>
                <c:pt idx="100">
                  <c:v>18176250</c:v>
                </c:pt>
                <c:pt idx="101">
                  <c:v>18496500</c:v>
                </c:pt>
                <c:pt idx="102">
                  <c:v>18816750</c:v>
                </c:pt>
                <c:pt idx="103">
                  <c:v>19137000</c:v>
                </c:pt>
                <c:pt idx="104">
                  <c:v>19457250</c:v>
                </c:pt>
                <c:pt idx="105">
                  <c:v>19777499.999999996</c:v>
                </c:pt>
                <c:pt idx="106">
                  <c:v>20097749.999999996</c:v>
                </c:pt>
                <c:pt idx="107">
                  <c:v>20417999.999999996</c:v>
                </c:pt>
                <c:pt idx="108">
                  <c:v>20738249.999999996</c:v>
                </c:pt>
                <c:pt idx="109">
                  <c:v>21058499.999999996</c:v>
                </c:pt>
                <c:pt idx="110">
                  <c:v>21378749.999999996</c:v>
                </c:pt>
                <c:pt idx="111">
                  <c:v>21698999.999999996</c:v>
                </c:pt>
                <c:pt idx="112">
                  <c:v>22019249.999999996</c:v>
                </c:pt>
                <c:pt idx="113">
                  <c:v>22339499.999999996</c:v>
                </c:pt>
                <c:pt idx="114">
                  <c:v>22659749.999999996</c:v>
                </c:pt>
                <c:pt idx="115">
                  <c:v>22979999.999999996</c:v>
                </c:pt>
                <c:pt idx="116">
                  <c:v>23300249.999999996</c:v>
                </c:pt>
                <c:pt idx="117">
                  <c:v>23620499.999999996</c:v>
                </c:pt>
                <c:pt idx="118">
                  <c:v>23940750</c:v>
                </c:pt>
                <c:pt idx="119">
                  <c:v>24261000</c:v>
                </c:pt>
                <c:pt idx="120">
                  <c:v>24581250</c:v>
                </c:pt>
                <c:pt idx="121">
                  <c:v>24901499.999999993</c:v>
                </c:pt>
                <c:pt idx="122">
                  <c:v>25221750</c:v>
                </c:pt>
                <c:pt idx="123">
                  <c:v>25542000</c:v>
                </c:pt>
                <c:pt idx="124">
                  <c:v>25862250</c:v>
                </c:pt>
                <c:pt idx="125">
                  <c:v>26182500</c:v>
                </c:pt>
                <c:pt idx="126">
                  <c:v>26502750</c:v>
                </c:pt>
                <c:pt idx="127">
                  <c:v>26823000</c:v>
                </c:pt>
                <c:pt idx="128">
                  <c:v>27143250</c:v>
                </c:pt>
                <c:pt idx="129">
                  <c:v>27463500</c:v>
                </c:pt>
                <c:pt idx="130">
                  <c:v>27783750</c:v>
                </c:pt>
                <c:pt idx="131">
                  <c:v>28104000</c:v>
                </c:pt>
                <c:pt idx="132">
                  <c:v>28424250</c:v>
                </c:pt>
                <c:pt idx="133">
                  <c:v>28744500</c:v>
                </c:pt>
                <c:pt idx="134">
                  <c:v>29064750</c:v>
                </c:pt>
                <c:pt idx="135">
                  <c:v>29385000</c:v>
                </c:pt>
                <c:pt idx="136">
                  <c:v>29705250</c:v>
                </c:pt>
                <c:pt idx="137">
                  <c:v>30025500</c:v>
                </c:pt>
                <c:pt idx="138">
                  <c:v>30345750</c:v>
                </c:pt>
                <c:pt idx="139">
                  <c:v>30666000</c:v>
                </c:pt>
                <c:pt idx="140">
                  <c:v>30986250</c:v>
                </c:pt>
                <c:pt idx="141">
                  <c:v>31306500</c:v>
                </c:pt>
                <c:pt idx="142">
                  <c:v>31626750</c:v>
                </c:pt>
                <c:pt idx="143">
                  <c:v>31947000</c:v>
                </c:pt>
                <c:pt idx="144">
                  <c:v>32267250</c:v>
                </c:pt>
                <c:pt idx="145">
                  <c:v>32587500</c:v>
                </c:pt>
                <c:pt idx="146">
                  <c:v>32907749.999999993</c:v>
                </c:pt>
                <c:pt idx="147">
                  <c:v>33228000</c:v>
                </c:pt>
                <c:pt idx="148">
                  <c:v>33548250</c:v>
                </c:pt>
                <c:pt idx="149">
                  <c:v>33868500</c:v>
                </c:pt>
                <c:pt idx="150">
                  <c:v>34188750</c:v>
                </c:pt>
                <c:pt idx="151">
                  <c:v>34509000</c:v>
                </c:pt>
                <c:pt idx="152">
                  <c:v>34829250</c:v>
                </c:pt>
                <c:pt idx="153">
                  <c:v>35149500</c:v>
                </c:pt>
                <c:pt idx="154">
                  <c:v>35469750</c:v>
                </c:pt>
                <c:pt idx="155">
                  <c:v>35790000</c:v>
                </c:pt>
                <c:pt idx="156">
                  <c:v>36110250</c:v>
                </c:pt>
                <c:pt idx="157">
                  <c:v>36430499.999999993</c:v>
                </c:pt>
                <c:pt idx="158">
                  <c:v>36750750</c:v>
                </c:pt>
                <c:pt idx="159">
                  <c:v>37071000</c:v>
                </c:pt>
                <c:pt idx="160">
                  <c:v>37391250</c:v>
                </c:pt>
                <c:pt idx="161">
                  <c:v>37711500</c:v>
                </c:pt>
                <c:pt idx="162">
                  <c:v>38031750</c:v>
                </c:pt>
                <c:pt idx="163">
                  <c:v>38352000</c:v>
                </c:pt>
                <c:pt idx="164">
                  <c:v>38672250</c:v>
                </c:pt>
                <c:pt idx="165">
                  <c:v>38992500</c:v>
                </c:pt>
                <c:pt idx="166">
                  <c:v>39312750</c:v>
                </c:pt>
                <c:pt idx="167">
                  <c:v>39633000</c:v>
                </c:pt>
                <c:pt idx="168">
                  <c:v>39953250</c:v>
                </c:pt>
                <c:pt idx="169">
                  <c:v>40273500</c:v>
                </c:pt>
                <c:pt idx="170">
                  <c:v>40593750</c:v>
                </c:pt>
                <c:pt idx="171">
                  <c:v>40914000</c:v>
                </c:pt>
                <c:pt idx="172">
                  <c:v>41234250</c:v>
                </c:pt>
                <c:pt idx="173">
                  <c:v>41554500</c:v>
                </c:pt>
                <c:pt idx="174">
                  <c:v>41874750</c:v>
                </c:pt>
                <c:pt idx="175">
                  <c:v>42195000</c:v>
                </c:pt>
                <c:pt idx="176">
                  <c:v>42515250</c:v>
                </c:pt>
                <c:pt idx="177">
                  <c:v>42835500</c:v>
                </c:pt>
                <c:pt idx="178">
                  <c:v>43155750</c:v>
                </c:pt>
                <c:pt idx="179">
                  <c:v>43476000</c:v>
                </c:pt>
                <c:pt idx="180">
                  <c:v>43796250</c:v>
                </c:pt>
                <c:pt idx="181">
                  <c:v>44116500</c:v>
                </c:pt>
                <c:pt idx="182">
                  <c:v>44436750</c:v>
                </c:pt>
                <c:pt idx="183">
                  <c:v>44757000</c:v>
                </c:pt>
                <c:pt idx="184">
                  <c:v>45077250</c:v>
                </c:pt>
                <c:pt idx="185">
                  <c:v>45397500</c:v>
                </c:pt>
                <c:pt idx="186">
                  <c:v>45717750</c:v>
                </c:pt>
                <c:pt idx="187">
                  <c:v>46038000</c:v>
                </c:pt>
                <c:pt idx="188">
                  <c:v>46358250</c:v>
                </c:pt>
                <c:pt idx="189">
                  <c:v>46678500</c:v>
                </c:pt>
                <c:pt idx="190">
                  <c:v>46998750</c:v>
                </c:pt>
                <c:pt idx="191">
                  <c:v>47319000</c:v>
                </c:pt>
                <c:pt idx="192">
                  <c:v>47639250</c:v>
                </c:pt>
                <c:pt idx="193">
                  <c:v>47959500.000000007</c:v>
                </c:pt>
                <c:pt idx="194">
                  <c:v>48279750</c:v>
                </c:pt>
                <c:pt idx="195">
                  <c:v>48600000</c:v>
                </c:pt>
                <c:pt idx="196">
                  <c:v>48920249.999999993</c:v>
                </c:pt>
                <c:pt idx="197">
                  <c:v>49240499.999999985</c:v>
                </c:pt>
                <c:pt idx="198">
                  <c:v>49560749.999999993</c:v>
                </c:pt>
                <c:pt idx="199">
                  <c:v>49880999.999999993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A8-4EFF-A690-02BD7D9B5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21824"/>
        <c:axId val="966118464"/>
      </c:lineChart>
      <c:catAx>
        <c:axId val="96612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966118464"/>
        <c:crosses val="autoZero"/>
        <c:auto val="1"/>
        <c:lblAlgn val="ctr"/>
        <c:lblOffset val="100"/>
        <c:noMultiLvlLbl val="0"/>
      </c:catAx>
      <c:valAx>
        <c:axId val="96611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VND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96612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156210</xdr:colOff>
      <xdr:row>0</xdr:row>
      <xdr:rowOff>121920</xdr:rowOff>
    </xdr:from>
    <xdr:to>
      <xdr:col>31</xdr:col>
      <xdr:colOff>34290</xdr:colOff>
      <xdr:row>16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8DAC0D-6494-B7D4-317D-4B13F8B2AA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194310</xdr:colOff>
      <xdr:row>17</xdr:row>
      <xdr:rowOff>7620</xdr:rowOff>
    </xdr:from>
    <xdr:to>
      <xdr:col>32</xdr:col>
      <xdr:colOff>30480</xdr:colOff>
      <xdr:row>32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EA1565-613E-D7FB-FA6D-6C1503CDC5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95A4E-BFC0-466C-9F10-5C83B2530880}">
  <dimension ref="A1:K17"/>
  <sheetViews>
    <sheetView topLeftCell="C1" workbookViewId="0">
      <selection activeCell="J2" sqref="J2"/>
    </sheetView>
  </sheetViews>
  <sheetFormatPr defaultRowHeight="13.8" x14ac:dyDescent="0.25"/>
  <cols>
    <col min="1" max="1" width="25.09765625" customWidth="1"/>
    <col min="2" max="2" width="25.3984375" customWidth="1"/>
    <col min="3" max="4" width="19.3984375" customWidth="1"/>
    <col min="6" max="7" width="31" customWidth="1"/>
    <col min="8" max="8" width="16.796875" customWidth="1"/>
    <col min="9" max="9" width="23.09765625" customWidth="1"/>
    <col min="10" max="10" width="25.296875" customWidth="1"/>
    <col min="11" max="11" width="24.0976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8</v>
      </c>
      <c r="E1" t="s">
        <v>3</v>
      </c>
      <c r="F1" t="s">
        <v>4</v>
      </c>
      <c r="G1" t="s">
        <v>9</v>
      </c>
      <c r="H1" t="s">
        <v>5</v>
      </c>
      <c r="I1" t="s">
        <v>6</v>
      </c>
      <c r="J1" t="s">
        <v>7</v>
      </c>
    </row>
    <row r="2" spans="1:11" x14ac:dyDescent="0.25">
      <c r="A2" s="2">
        <f>A3*10^6</f>
        <v>37377049.18032787</v>
      </c>
      <c r="B2" s="2">
        <v>9000000</v>
      </c>
      <c r="C2" s="2">
        <f>A2-SUM(B2:B4)</f>
        <v>18000000</v>
      </c>
      <c r="D2">
        <v>1</v>
      </c>
      <c r="E2" s="1">
        <v>0.05</v>
      </c>
      <c r="F2" s="2">
        <v>5000000</v>
      </c>
      <c r="G2" s="2">
        <f>E2*F2</f>
        <v>250000</v>
      </c>
      <c r="H2" s="2">
        <v>0</v>
      </c>
      <c r="I2" t="b">
        <f>$C$2&gt;F2</f>
        <v>1</v>
      </c>
      <c r="J2" s="2" cm="1">
        <f t="array" aca="1" ref="J2" ca="1">C2*INDEX(E2:E8,COUNTIF(I2:I8,TRUE))-INDEX(H2:H8,COUNTIF(I2:I8,TRUE))</f>
        <v>1950000</v>
      </c>
      <c r="K2" s="3"/>
    </row>
    <row r="3" spans="1:11" x14ac:dyDescent="0.25">
      <c r="A3" s="2">
        <v>37.377049180327873</v>
      </c>
      <c r="B3" s="2">
        <v>7200000</v>
      </c>
      <c r="D3">
        <v>2</v>
      </c>
      <c r="E3" s="1">
        <v>0.1</v>
      </c>
      <c r="F3" s="2">
        <v>10000000</v>
      </c>
      <c r="G3" s="2">
        <f>E3*(F3-F2)</f>
        <v>500000</v>
      </c>
      <c r="H3" s="2">
        <f ca="1">E3*F2-SUM(OFFSET($G$2,0,0,D3-1))</f>
        <v>250000</v>
      </c>
      <c r="I3" t="b">
        <f t="shared" ref="I3:I7" si="0">$C$2&gt;F3</f>
        <v>1</v>
      </c>
    </row>
    <row r="4" spans="1:11" x14ac:dyDescent="0.25">
      <c r="A4" s="2"/>
      <c r="B4" s="2">
        <f>A2*(7+1.5)/100</f>
        <v>3177049.180327869</v>
      </c>
      <c r="D4">
        <v>3</v>
      </c>
      <c r="E4" s="1">
        <v>0.15</v>
      </c>
      <c r="F4" s="2">
        <v>18000000</v>
      </c>
      <c r="G4" s="2">
        <f t="shared" ref="G4:G8" si="1">E4*(F4-F3)</f>
        <v>1200000</v>
      </c>
      <c r="H4" s="2">
        <f t="shared" ref="H4:H8" ca="1" si="2">E4*F3-SUM(OFFSET($G$2,0,0,D4-1))</f>
        <v>750000</v>
      </c>
      <c r="I4" t="b">
        <f t="shared" si="0"/>
        <v>0</v>
      </c>
    </row>
    <row r="5" spans="1:11" x14ac:dyDescent="0.25">
      <c r="D5">
        <v>4</v>
      </c>
      <c r="E5" s="1">
        <v>0.2</v>
      </c>
      <c r="F5" s="2">
        <v>32000000</v>
      </c>
      <c r="G5" s="2">
        <f t="shared" si="1"/>
        <v>2800000</v>
      </c>
      <c r="H5" s="2">
        <f t="shared" ca="1" si="2"/>
        <v>1650000</v>
      </c>
      <c r="I5" t="b">
        <f t="shared" si="0"/>
        <v>0</v>
      </c>
    </row>
    <row r="6" spans="1:11" x14ac:dyDescent="0.25">
      <c r="D6">
        <v>5</v>
      </c>
      <c r="E6" s="1">
        <v>0.25</v>
      </c>
      <c r="F6" s="2">
        <v>52000000</v>
      </c>
      <c r="G6" s="2">
        <f t="shared" si="1"/>
        <v>5000000</v>
      </c>
      <c r="H6" s="2">
        <f t="shared" ca="1" si="2"/>
        <v>3250000</v>
      </c>
      <c r="I6" t="b">
        <f t="shared" si="0"/>
        <v>0</v>
      </c>
    </row>
    <row r="7" spans="1:11" x14ac:dyDescent="0.25">
      <c r="D7">
        <v>6</v>
      </c>
      <c r="E7" s="1">
        <v>0.3</v>
      </c>
      <c r="F7" s="2">
        <v>80000000</v>
      </c>
      <c r="G7" s="2">
        <f t="shared" si="1"/>
        <v>8400000</v>
      </c>
      <c r="H7" s="2">
        <f t="shared" ca="1" si="2"/>
        <v>5850000</v>
      </c>
      <c r="I7" t="b">
        <f t="shared" si="0"/>
        <v>0</v>
      </c>
    </row>
    <row r="8" spans="1:11" x14ac:dyDescent="0.25">
      <c r="D8">
        <v>7</v>
      </c>
      <c r="E8" s="1">
        <v>0.35</v>
      </c>
      <c r="F8" s="2"/>
      <c r="G8" s="2">
        <f t="shared" si="1"/>
        <v>-28000000</v>
      </c>
      <c r="H8" s="2">
        <f t="shared" ca="1" si="2"/>
        <v>9850000</v>
      </c>
      <c r="I8" t="b">
        <f>$C$2&gt;F8</f>
        <v>1</v>
      </c>
    </row>
    <row r="11" spans="1:11" x14ac:dyDescent="0.25">
      <c r="F11" s="1"/>
      <c r="G11" s="1"/>
      <c r="H11" s="2"/>
      <c r="I11" s="2"/>
      <c r="J11" s="2"/>
      <c r="K11" s="2"/>
    </row>
    <row r="12" spans="1:11" x14ac:dyDescent="0.25">
      <c r="H12" s="2"/>
      <c r="I12" s="2"/>
      <c r="J12" s="2"/>
      <c r="K12" s="2"/>
    </row>
    <row r="13" spans="1:11" x14ac:dyDescent="0.25">
      <c r="H13" s="2"/>
      <c r="I13" s="2"/>
      <c r="J13" s="2"/>
      <c r="K13" s="2"/>
    </row>
    <row r="14" spans="1:11" x14ac:dyDescent="0.25">
      <c r="H14" s="2"/>
      <c r="I14" s="2"/>
      <c r="J14" s="2"/>
      <c r="K14" s="2"/>
    </row>
    <row r="15" spans="1:11" x14ac:dyDescent="0.25">
      <c r="H15" s="2"/>
      <c r="I15" s="2"/>
      <c r="J15" s="2"/>
      <c r="K15" s="2"/>
    </row>
    <row r="16" spans="1:11" x14ac:dyDescent="0.25">
      <c r="H16" s="2"/>
      <c r="I16" s="2"/>
      <c r="J16" s="2"/>
      <c r="K16" s="2"/>
    </row>
    <row r="17" spans="8:11" x14ac:dyDescent="0.25">
      <c r="H17" s="2"/>
      <c r="I17" s="2"/>
      <c r="J17" s="2"/>
      <c r="K1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803E3-D222-42D4-B2B4-CFEE4F2C648E}">
  <dimension ref="A1:X201"/>
  <sheetViews>
    <sheetView tabSelected="1" topLeftCell="S1" workbookViewId="0">
      <selection activeCell="S15" sqref="S15"/>
    </sheetView>
  </sheetViews>
  <sheetFormatPr defaultRowHeight="13.8" x14ac:dyDescent="0.25"/>
  <cols>
    <col min="3" max="3" width="19" customWidth="1"/>
    <col min="8" max="8" width="22.3984375" style="2" customWidth="1"/>
    <col min="9" max="9" width="19.8984375" style="2" hidden="1" customWidth="1"/>
    <col min="10" max="10" width="19.8984375" style="2" customWidth="1"/>
    <col min="11" max="18" width="0" hidden="1" customWidth="1"/>
    <col min="19" max="19" width="20.8984375" customWidth="1"/>
    <col min="20" max="20" width="23.59765625" style="2" customWidth="1"/>
    <col min="21" max="21" width="18.59765625" customWidth="1"/>
    <col min="22" max="22" width="28.296875" style="2" customWidth="1"/>
  </cols>
  <sheetData>
    <row r="1" spans="1:24" x14ac:dyDescent="0.25">
      <c r="A1" cm="1">
        <f t="array" ref="A1:C7">lương!D2:F8</f>
        <v>1</v>
      </c>
      <c r="B1" s="4">
        <v>0.05</v>
      </c>
      <c r="C1" s="2">
        <v>5000000</v>
      </c>
      <c r="D1" cm="1">
        <f t="array" aca="1" ref="D1:D7" ca="1">lương!H2:H8</f>
        <v>0</v>
      </c>
      <c r="G1" t="s">
        <v>10</v>
      </c>
      <c r="H1" s="2" t="s">
        <v>11</v>
      </c>
      <c r="I1" s="2" t="s">
        <v>12</v>
      </c>
      <c r="J1" s="2" t="s">
        <v>12</v>
      </c>
      <c r="S1" t="s">
        <v>14</v>
      </c>
      <c r="T1" s="2" t="s">
        <v>20</v>
      </c>
      <c r="U1" t="s">
        <v>19</v>
      </c>
      <c r="V1" s="2" t="s">
        <v>15</v>
      </c>
      <c r="W1" t="s">
        <v>16</v>
      </c>
      <c r="X1" s="2" t="s">
        <v>17</v>
      </c>
    </row>
    <row r="2" spans="1:24" x14ac:dyDescent="0.25">
      <c r="A2">
        <v>2</v>
      </c>
      <c r="B2" s="4">
        <v>0.1</v>
      </c>
      <c r="C2" s="2">
        <v>10000000</v>
      </c>
      <c r="D2">
        <f ca="1"/>
        <v>250000</v>
      </c>
      <c r="F2">
        <v>200</v>
      </c>
      <c r="G2" cm="1">
        <f t="array" ref="G2:G201">_xlfn.SEQUENCE(F2,1,5,1)</f>
        <v>5</v>
      </c>
      <c r="H2" s="2" cm="1">
        <f t="array" ref="H2:H201">_xlfn.ANCHORARRAY(G2)*10^6</f>
        <v>5000000</v>
      </c>
      <c r="I2" s="2" cm="1">
        <f t="array" ref="I2:I201">(_xlfn.ANCHORARRAY(G2)-9-7-_xlfn.ANCHORARRAY(G2)*8.5/100)*10^6</f>
        <v>-11425000</v>
      </c>
      <c r="J2" s="2">
        <f>MAX(0,I2)</f>
        <v>0</v>
      </c>
      <c r="K2" t="b" cm="1">
        <f t="array" ref="K2:Q2">TRANSPOSE(I2&gt;$C$1:$C$7)</f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>
        <f>COUNTIF(_xlfn.ANCHORARRAY(K2),TRUE)</f>
        <v>0</v>
      </c>
      <c r="S2" s="2" cm="1">
        <f t="array" aca="1" ref="S2" ca="1">MAX(0,J2*INDEX($B$1:$B$7,COUNTIF(_xlfn.ANCHORARRAY($K$2),TRUE))-INDEX(_xlfn.ANCHORARRAY($D$1),COUNTIF(_xlfn.ANCHORARRAY($K$2),TRUE)))</f>
        <v>0</v>
      </c>
      <c r="T2" s="2" cm="1">
        <f t="array" ref="T2:T201">_xlfn.ANCHORARRAY(H2)*8.5/100</f>
        <v>425000</v>
      </c>
      <c r="U2" s="2">
        <f ca="1">SUM(S2:T2)</f>
        <v>425000</v>
      </c>
      <c r="V2" s="2" cm="1">
        <f t="array" ref="V2:V201">_xlfn.ANCHORARRAY(H2)*17/100</f>
        <v>850000</v>
      </c>
      <c r="W2" t="b">
        <f ca="1">U2&lt;V2</f>
        <v>1</v>
      </c>
      <c r="X2" t="b">
        <f ca="1">S2&lt;V2</f>
        <v>1</v>
      </c>
    </row>
    <row r="3" spans="1:24" x14ac:dyDescent="0.25">
      <c r="A3">
        <v>3</v>
      </c>
      <c r="B3" s="4">
        <v>0.15</v>
      </c>
      <c r="C3" s="2">
        <v>18000000</v>
      </c>
      <c r="D3">
        <f ca="1"/>
        <v>750000</v>
      </c>
      <c r="G3">
        <v>6</v>
      </c>
      <c r="H3" s="2">
        <v>6000000</v>
      </c>
      <c r="I3" s="2">
        <v>-10510000</v>
      </c>
      <c r="J3" s="2">
        <f t="shared" ref="J3:J66" si="0">MAX(0,I3)</f>
        <v>0</v>
      </c>
      <c r="K3" t="b" cm="1">
        <f t="array" ref="K3:Q3">TRANSPOSE(I3&gt;$C$1:$C$7)</f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>
        <f t="shared" ref="R3:R66" si="1">COUNTIF(_xlfn.ANCHORARRAY(K3),TRUE)</f>
        <v>0</v>
      </c>
      <c r="S3" s="2" cm="1">
        <f t="array" aca="1" ref="S3" ca="1">MAX(0,J3*INDEX($B$1:$B$7,COUNTIF(_xlfn.ANCHORARRAY($K$2),TRUE))-INDEX(_xlfn.ANCHORARRAY($D$1),COUNTIF(_xlfn.ANCHORARRAY($K$2),TRUE)))</f>
        <v>0</v>
      </c>
      <c r="T3" s="2">
        <v>510000</v>
      </c>
      <c r="U3" s="2">
        <f t="shared" ref="U3:U66" ca="1" si="2">SUM(S3:T3)</f>
        <v>510000</v>
      </c>
      <c r="V3" s="2">
        <v>1020000</v>
      </c>
      <c r="W3" t="b">
        <f t="shared" ref="W3:W66" ca="1" si="3">U3&lt;V3</f>
        <v>1</v>
      </c>
      <c r="X3" t="b">
        <f t="shared" ref="X3:X66" ca="1" si="4">S3&lt;V3</f>
        <v>1</v>
      </c>
    </row>
    <row r="4" spans="1:24" x14ac:dyDescent="0.25">
      <c r="A4">
        <v>4</v>
      </c>
      <c r="B4" s="4">
        <v>0.2</v>
      </c>
      <c r="C4" s="2">
        <v>32000000</v>
      </c>
      <c r="D4">
        <f ca="1"/>
        <v>1650000</v>
      </c>
      <c r="G4">
        <v>7</v>
      </c>
      <c r="H4" s="2">
        <v>7000000</v>
      </c>
      <c r="I4" s="2">
        <v>-9595000</v>
      </c>
      <c r="J4" s="2">
        <f t="shared" si="0"/>
        <v>0</v>
      </c>
      <c r="K4" t="b" cm="1">
        <f t="array" ref="K4:Q4">TRANSPOSE(I4&gt;$C$1:$C$7)</f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>
        <f t="shared" si="1"/>
        <v>0</v>
      </c>
      <c r="S4" s="2" cm="1">
        <f t="array" aca="1" ref="S4" ca="1">MAX(0,J4*INDEX($B$1:$B$7,COUNTIF(_xlfn.ANCHORARRAY($K$2),TRUE))-INDEX(_xlfn.ANCHORARRAY($D$1),COUNTIF(_xlfn.ANCHORARRAY($K$2),TRUE)))</f>
        <v>0</v>
      </c>
      <c r="T4" s="2">
        <v>595000</v>
      </c>
      <c r="U4" s="2">
        <f t="shared" ca="1" si="2"/>
        <v>595000</v>
      </c>
      <c r="V4" s="2">
        <v>1190000</v>
      </c>
      <c r="W4" t="b">
        <f t="shared" ca="1" si="3"/>
        <v>1</v>
      </c>
      <c r="X4" t="b">
        <f t="shared" ca="1" si="4"/>
        <v>1</v>
      </c>
    </row>
    <row r="5" spans="1:24" x14ac:dyDescent="0.25">
      <c r="A5">
        <v>5</v>
      </c>
      <c r="B5" s="4">
        <v>0.25</v>
      </c>
      <c r="C5" s="2">
        <v>52000000</v>
      </c>
      <c r="D5">
        <f ca="1"/>
        <v>3250000</v>
      </c>
      <c r="G5">
        <v>8</v>
      </c>
      <c r="H5" s="2">
        <v>8000000</v>
      </c>
      <c r="I5" s="2">
        <v>-8680000</v>
      </c>
      <c r="J5" s="2">
        <f t="shared" si="0"/>
        <v>0</v>
      </c>
      <c r="K5" t="b" cm="1">
        <f t="array" ref="K5:Q5">TRANSPOSE(I5&gt;$C$1:$C$7)</f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>
        <f t="shared" si="1"/>
        <v>0</v>
      </c>
      <c r="S5" s="2" cm="1">
        <f t="array" aca="1" ref="S5" ca="1">MAX(0,J5*INDEX($B$1:$B$7,COUNTIF(_xlfn.ANCHORARRAY($K$2),TRUE))-INDEX(_xlfn.ANCHORARRAY($D$1),COUNTIF(_xlfn.ANCHORARRAY($K$2),TRUE)))</f>
        <v>0</v>
      </c>
      <c r="T5" s="2">
        <v>680000</v>
      </c>
      <c r="U5" s="2">
        <f t="shared" ca="1" si="2"/>
        <v>680000</v>
      </c>
      <c r="V5" s="2">
        <v>1360000</v>
      </c>
      <c r="W5" t="b">
        <f t="shared" ca="1" si="3"/>
        <v>1</v>
      </c>
      <c r="X5" t="b">
        <f t="shared" ca="1" si="4"/>
        <v>1</v>
      </c>
    </row>
    <row r="6" spans="1:24" x14ac:dyDescent="0.25">
      <c r="A6">
        <v>6</v>
      </c>
      <c r="B6" s="4">
        <v>0.3</v>
      </c>
      <c r="C6" s="2">
        <v>80000000</v>
      </c>
      <c r="D6">
        <f ca="1"/>
        <v>5850000</v>
      </c>
      <c r="G6">
        <v>9</v>
      </c>
      <c r="H6" s="2">
        <v>9000000</v>
      </c>
      <c r="I6" s="2">
        <v>-7765000</v>
      </c>
      <c r="J6" s="2">
        <f t="shared" si="0"/>
        <v>0</v>
      </c>
      <c r="K6" t="b" cm="1">
        <f t="array" ref="K6:Q6">TRANSPOSE(I6&gt;$C$1:$C$7)</f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>
        <f t="shared" si="1"/>
        <v>0</v>
      </c>
      <c r="S6" s="2" cm="1">
        <f t="array" aca="1" ref="S6" ca="1">MAX(0,J6*INDEX($B$1:$B$7,COUNTIF(_xlfn.ANCHORARRAY($K$2),TRUE))-INDEX(_xlfn.ANCHORARRAY($D$1),COUNTIF(_xlfn.ANCHORARRAY($K$2),TRUE)))</f>
        <v>0</v>
      </c>
      <c r="T6" s="2">
        <v>765000</v>
      </c>
      <c r="U6" s="2">
        <f t="shared" ca="1" si="2"/>
        <v>765000</v>
      </c>
      <c r="V6" s="2">
        <v>1530000</v>
      </c>
      <c r="W6" t="b">
        <f t="shared" ca="1" si="3"/>
        <v>1</v>
      </c>
      <c r="X6" t="b">
        <f t="shared" ca="1" si="4"/>
        <v>1</v>
      </c>
    </row>
    <row r="7" spans="1:24" x14ac:dyDescent="0.25">
      <c r="A7">
        <v>7</v>
      </c>
      <c r="B7" s="4">
        <v>0.35</v>
      </c>
      <c r="C7" s="2">
        <v>0</v>
      </c>
      <c r="D7">
        <f ca="1"/>
        <v>9850000</v>
      </c>
      <c r="G7">
        <v>10</v>
      </c>
      <c r="H7" s="2">
        <v>10000000</v>
      </c>
      <c r="I7" s="2">
        <v>-6850000</v>
      </c>
      <c r="J7" s="2">
        <f t="shared" si="0"/>
        <v>0</v>
      </c>
      <c r="K7" t="b" cm="1">
        <f t="array" ref="K7:Q7">TRANSPOSE(I7&gt;$C$1:$C$7)</f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>
        <f t="shared" si="1"/>
        <v>0</v>
      </c>
      <c r="S7" s="2" cm="1">
        <f t="array" aca="1" ref="S7" ca="1">MAX(0,J7*INDEX($B$1:$B$7,COUNTIF(_xlfn.ANCHORARRAY($K$2),TRUE))-INDEX(_xlfn.ANCHORARRAY($D$1),COUNTIF(_xlfn.ANCHORARRAY($K$2),TRUE)))</f>
        <v>0</v>
      </c>
      <c r="T7" s="2">
        <v>850000</v>
      </c>
      <c r="U7" s="2">
        <f t="shared" ca="1" si="2"/>
        <v>850000</v>
      </c>
      <c r="V7" s="2">
        <v>1700000</v>
      </c>
      <c r="W7" t="b">
        <f t="shared" ca="1" si="3"/>
        <v>1</v>
      </c>
      <c r="X7" t="b">
        <f t="shared" ca="1" si="4"/>
        <v>1</v>
      </c>
    </row>
    <row r="8" spans="1:24" x14ac:dyDescent="0.25">
      <c r="G8">
        <v>11</v>
      </c>
      <c r="H8" s="2">
        <v>11000000</v>
      </c>
      <c r="I8" s="2">
        <v>-5935000.0000000009</v>
      </c>
      <c r="J8" s="2">
        <f t="shared" si="0"/>
        <v>0</v>
      </c>
      <c r="K8" t="b" cm="1">
        <f t="array" ref="K8:Q8">TRANSPOSE(I8&gt;$C$1:$C$7)</f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>
        <f t="shared" si="1"/>
        <v>0</v>
      </c>
      <c r="S8" s="2" cm="1">
        <f t="array" aca="1" ref="S8" ca="1">MAX(0,J8*INDEX($B$1:$B$7,COUNTIF(_xlfn.ANCHORARRAY($K$2),TRUE))-INDEX(_xlfn.ANCHORARRAY($D$1),COUNTIF(_xlfn.ANCHORARRAY($K$2),TRUE)))</f>
        <v>0</v>
      </c>
      <c r="T8" s="2">
        <v>935000</v>
      </c>
      <c r="U8" s="2">
        <f t="shared" ca="1" si="2"/>
        <v>935000</v>
      </c>
      <c r="V8" s="2">
        <v>1870000</v>
      </c>
      <c r="W8" t="b">
        <f t="shared" ca="1" si="3"/>
        <v>1</v>
      </c>
      <c r="X8" t="b">
        <f t="shared" ca="1" si="4"/>
        <v>1</v>
      </c>
    </row>
    <row r="9" spans="1:24" x14ac:dyDescent="0.25">
      <c r="G9">
        <v>12</v>
      </c>
      <c r="H9" s="2">
        <v>12000000</v>
      </c>
      <c r="I9" s="2">
        <v>-5020000</v>
      </c>
      <c r="J9" s="2">
        <f t="shared" si="0"/>
        <v>0</v>
      </c>
      <c r="K9" t="b" cm="1">
        <f t="array" ref="K9:Q9">TRANSPOSE(I9&gt;$C$1:$C$7)</f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>
        <f t="shared" si="1"/>
        <v>0</v>
      </c>
      <c r="S9" s="2" cm="1">
        <f t="array" aca="1" ref="S9" ca="1">MAX(0,J9*INDEX($B$1:$B$7,COUNTIF(_xlfn.ANCHORARRAY($K$2),TRUE))-INDEX(_xlfn.ANCHORARRAY($D$1),COUNTIF(_xlfn.ANCHORARRAY($K$2),TRUE)))</f>
        <v>0</v>
      </c>
      <c r="T9" s="2">
        <v>1020000</v>
      </c>
      <c r="U9" s="2">
        <f t="shared" ca="1" si="2"/>
        <v>1020000</v>
      </c>
      <c r="V9" s="2">
        <v>2040000</v>
      </c>
      <c r="W9" t="b">
        <f t="shared" ca="1" si="3"/>
        <v>1</v>
      </c>
      <c r="X9" t="b">
        <f t="shared" ca="1" si="4"/>
        <v>1</v>
      </c>
    </row>
    <row r="10" spans="1:24" x14ac:dyDescent="0.25">
      <c r="G10">
        <v>13</v>
      </c>
      <c r="H10" s="2">
        <v>13000000</v>
      </c>
      <c r="I10" s="2">
        <v>-4105000.0000000005</v>
      </c>
      <c r="J10" s="2">
        <f t="shared" si="0"/>
        <v>0</v>
      </c>
      <c r="K10" t="b" cm="1">
        <f t="array" ref="K10:Q10">TRANSPOSE(I10&gt;$C$1:$C$7)</f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>
        <f t="shared" si="1"/>
        <v>0</v>
      </c>
      <c r="S10" s="2" cm="1">
        <f t="array" aca="1" ref="S10" ca="1">MAX(0,J10*INDEX($B$1:$B$7,COUNTIF(_xlfn.ANCHORARRAY($K$2),TRUE))-INDEX(_xlfn.ANCHORARRAY($D$1),COUNTIF(_xlfn.ANCHORARRAY($K$2),TRUE)))</f>
        <v>0</v>
      </c>
      <c r="T10" s="2">
        <v>1105000</v>
      </c>
      <c r="U10" s="2">
        <f t="shared" ca="1" si="2"/>
        <v>1105000</v>
      </c>
      <c r="V10" s="2">
        <v>2210000</v>
      </c>
      <c r="W10" t="b">
        <f t="shared" ca="1" si="3"/>
        <v>1</v>
      </c>
      <c r="X10" t="b">
        <f t="shared" ca="1" si="4"/>
        <v>1</v>
      </c>
    </row>
    <row r="11" spans="1:24" x14ac:dyDescent="0.25">
      <c r="G11">
        <v>14</v>
      </c>
      <c r="H11" s="2">
        <v>14000000</v>
      </c>
      <c r="I11" s="2">
        <v>-3190000</v>
      </c>
      <c r="J11" s="2">
        <f t="shared" si="0"/>
        <v>0</v>
      </c>
      <c r="K11" t="b" cm="1">
        <f t="array" ref="K11:Q11">TRANSPOSE(I11&gt;$C$1:$C$7)</f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>
        <f t="shared" si="1"/>
        <v>0</v>
      </c>
      <c r="S11" s="2" cm="1">
        <f t="array" aca="1" ref="S11" ca="1">MAX(0,J11*INDEX($B$1:$B$7,COUNTIF(_xlfn.ANCHORARRAY($K$2),TRUE))-INDEX(_xlfn.ANCHORARRAY($D$1),COUNTIF(_xlfn.ANCHORARRAY($K$2),TRUE)))</f>
        <v>0</v>
      </c>
      <c r="T11" s="2">
        <v>1190000</v>
      </c>
      <c r="U11" s="2">
        <f t="shared" ca="1" si="2"/>
        <v>1190000</v>
      </c>
      <c r="V11" s="2">
        <v>2380000</v>
      </c>
      <c r="W11" t="b">
        <f t="shared" ca="1" si="3"/>
        <v>1</v>
      </c>
      <c r="X11" t="b">
        <f t="shared" ca="1" si="4"/>
        <v>1</v>
      </c>
    </row>
    <row r="12" spans="1:24" x14ac:dyDescent="0.25">
      <c r="G12">
        <v>15</v>
      </c>
      <c r="H12" s="2">
        <v>15000000</v>
      </c>
      <c r="I12" s="2">
        <v>-2275000</v>
      </c>
      <c r="J12" s="2">
        <f t="shared" si="0"/>
        <v>0</v>
      </c>
      <c r="K12" t="b" cm="1">
        <f t="array" ref="K12:Q12">TRANSPOSE(I12&gt;$C$1:$C$7)</f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>
        <f t="shared" si="1"/>
        <v>0</v>
      </c>
      <c r="S12" s="2" cm="1">
        <f t="array" aca="1" ref="S12" ca="1">MAX(0,J12*INDEX($B$1:$B$7,COUNTIF(_xlfn.ANCHORARRAY($K$2),TRUE))-INDEX(_xlfn.ANCHORARRAY($D$1),COUNTIF(_xlfn.ANCHORARRAY($K$2),TRUE)))</f>
        <v>0</v>
      </c>
      <c r="T12" s="2">
        <v>1275000</v>
      </c>
      <c r="U12" s="2">
        <f t="shared" ca="1" si="2"/>
        <v>1275000</v>
      </c>
      <c r="V12" s="2">
        <v>2550000</v>
      </c>
      <c r="W12" t="b">
        <f t="shared" ca="1" si="3"/>
        <v>1</v>
      </c>
      <c r="X12" t="b">
        <f t="shared" ca="1" si="4"/>
        <v>1</v>
      </c>
    </row>
    <row r="13" spans="1:24" x14ac:dyDescent="0.25">
      <c r="G13">
        <v>16</v>
      </c>
      <c r="H13" s="2">
        <v>16000000</v>
      </c>
      <c r="I13" s="2">
        <v>-1360000</v>
      </c>
      <c r="J13" s="2">
        <f t="shared" si="0"/>
        <v>0</v>
      </c>
      <c r="K13" t="b" cm="1">
        <f t="array" ref="K13:Q13">TRANSPOSE(I13&gt;$C$1:$C$7)</f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>
        <f t="shared" si="1"/>
        <v>0</v>
      </c>
      <c r="S13" s="2" cm="1">
        <f t="array" aca="1" ref="S13" ca="1">MAX(0,J13*INDEX($B$1:$B$7,COUNTIF(_xlfn.ANCHORARRAY($K$2),TRUE))-INDEX(_xlfn.ANCHORARRAY($D$1),COUNTIF(_xlfn.ANCHORARRAY($K$2),TRUE)))</f>
        <v>0</v>
      </c>
      <c r="T13" s="2">
        <v>1360000</v>
      </c>
      <c r="U13" s="2">
        <f t="shared" ca="1" si="2"/>
        <v>1360000</v>
      </c>
      <c r="V13" s="2">
        <v>2720000</v>
      </c>
      <c r="W13" t="b">
        <f t="shared" ca="1" si="3"/>
        <v>1</v>
      </c>
      <c r="X13" t="b">
        <f t="shared" ca="1" si="4"/>
        <v>1</v>
      </c>
    </row>
    <row r="14" spans="1:24" x14ac:dyDescent="0.25">
      <c r="G14">
        <v>17</v>
      </c>
      <c r="H14" s="2">
        <v>17000000</v>
      </c>
      <c r="I14" s="2">
        <v>-445000.00000000006</v>
      </c>
      <c r="J14" s="2">
        <f t="shared" si="0"/>
        <v>0</v>
      </c>
      <c r="K14" t="b" cm="1">
        <f t="array" ref="K14:Q14">TRANSPOSE(I14&gt;$C$1:$C$7)</f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>
        <f t="shared" si="1"/>
        <v>0</v>
      </c>
      <c r="S14" s="2" cm="1">
        <f t="array" aca="1" ref="S14" ca="1">MAX(0,J14*INDEX($B$1:$B$7,COUNTIF(_xlfn.ANCHORARRAY($K$2),TRUE))-INDEX(_xlfn.ANCHORARRAY($D$1),COUNTIF(_xlfn.ANCHORARRAY($K$2),TRUE)))</f>
        <v>0</v>
      </c>
      <c r="T14" s="2">
        <v>1445000</v>
      </c>
      <c r="U14" s="2">
        <f t="shared" ca="1" si="2"/>
        <v>1445000</v>
      </c>
      <c r="V14" s="2">
        <v>2890000</v>
      </c>
      <c r="W14" t="b">
        <f t="shared" ca="1" si="3"/>
        <v>1</v>
      </c>
      <c r="X14" t="b">
        <f t="shared" ca="1" si="4"/>
        <v>1</v>
      </c>
    </row>
    <row r="15" spans="1:24" x14ac:dyDescent="0.25">
      <c r="G15">
        <v>18</v>
      </c>
      <c r="H15" s="2">
        <v>18000000</v>
      </c>
      <c r="I15" s="2">
        <v>470000</v>
      </c>
      <c r="J15" s="2">
        <f t="shared" si="0"/>
        <v>470000</v>
      </c>
      <c r="K15" t="b" cm="1">
        <f t="array" ref="K15:Q15">TRANSPOSE(I15&gt;$C$1:$C$7)</f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1</v>
      </c>
      <c r="R15">
        <f t="shared" si="1"/>
        <v>1</v>
      </c>
      <c r="S15" s="2" cm="1">
        <f t="array" aca="1" ref="S15" ca="1">MAX(0,J15*INDEX($B$1:$B$7,COUNTIF(_xlfn.ANCHORARRAY($K$2),TRUE))-INDEX(_xlfn.ANCHORARRAY($D$1),COUNTIF(_xlfn.ANCHORARRAY($K$2),TRUE)))</f>
        <v>23500</v>
      </c>
      <c r="T15" s="2">
        <v>1530000</v>
      </c>
      <c r="U15" s="2">
        <f t="shared" ca="1" si="2"/>
        <v>1553500</v>
      </c>
      <c r="V15" s="2">
        <v>3060000</v>
      </c>
      <c r="W15" t="b">
        <f t="shared" ca="1" si="3"/>
        <v>1</v>
      </c>
      <c r="X15" t="b">
        <f t="shared" ca="1" si="4"/>
        <v>1</v>
      </c>
    </row>
    <row r="16" spans="1:24" x14ac:dyDescent="0.25">
      <c r="G16">
        <v>19</v>
      </c>
      <c r="H16" s="2">
        <v>19000000</v>
      </c>
      <c r="I16" s="2">
        <v>1385000</v>
      </c>
      <c r="J16" s="2">
        <f t="shared" si="0"/>
        <v>1385000</v>
      </c>
      <c r="K16" t="b" cm="1">
        <f t="array" ref="K16:Q16">TRANSPOSE(I16&gt;$C$1:$C$7)</f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1</v>
      </c>
      <c r="R16">
        <f t="shared" si="1"/>
        <v>1</v>
      </c>
      <c r="S16" s="2" cm="1">
        <f t="array" aca="1" ref="S16" ca="1">MAX(0,J16*INDEX($B$1:$B$7,COUNTIF(_xlfn.ANCHORARRAY($K$2),TRUE))-INDEX(_xlfn.ANCHORARRAY($D$1),COUNTIF(_xlfn.ANCHORARRAY($K$2),TRUE)))</f>
        <v>69250</v>
      </c>
      <c r="T16" s="2">
        <v>1615000</v>
      </c>
      <c r="U16" s="2">
        <f t="shared" ca="1" si="2"/>
        <v>1684250</v>
      </c>
      <c r="V16" s="2">
        <v>3230000</v>
      </c>
      <c r="W16" t="b">
        <f t="shared" ca="1" si="3"/>
        <v>1</v>
      </c>
      <c r="X16" t="b">
        <f t="shared" ca="1" si="4"/>
        <v>1</v>
      </c>
    </row>
    <row r="17" spans="7:24" x14ac:dyDescent="0.25">
      <c r="G17">
        <v>20</v>
      </c>
      <c r="H17" s="2">
        <v>20000000</v>
      </c>
      <c r="I17" s="2">
        <v>2300000</v>
      </c>
      <c r="J17" s="2">
        <f t="shared" si="0"/>
        <v>2300000</v>
      </c>
      <c r="K17" t="b" cm="1">
        <f t="array" ref="K17:Q17">TRANSPOSE(I17&gt;$C$1:$C$7)</f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1</v>
      </c>
      <c r="R17">
        <f t="shared" si="1"/>
        <v>1</v>
      </c>
      <c r="S17" s="2" cm="1">
        <f t="array" aca="1" ref="S17" ca="1">MAX(0,J17*INDEX($B$1:$B$7,COUNTIF(_xlfn.ANCHORARRAY($K$2),TRUE))-INDEX(_xlfn.ANCHORARRAY($D$1),COUNTIF(_xlfn.ANCHORARRAY($K$2),TRUE)))</f>
        <v>115000</v>
      </c>
      <c r="T17" s="2">
        <v>1700000</v>
      </c>
      <c r="U17" s="2">
        <f t="shared" ca="1" si="2"/>
        <v>1815000</v>
      </c>
      <c r="V17" s="2">
        <v>3400000</v>
      </c>
      <c r="W17" t="b">
        <f t="shared" ca="1" si="3"/>
        <v>1</v>
      </c>
      <c r="X17" t="b">
        <f t="shared" ca="1" si="4"/>
        <v>1</v>
      </c>
    </row>
    <row r="18" spans="7:24" x14ac:dyDescent="0.25">
      <c r="G18">
        <v>21</v>
      </c>
      <c r="H18" s="2">
        <v>21000000</v>
      </c>
      <c r="I18" s="2">
        <v>3215000</v>
      </c>
      <c r="J18" s="2">
        <f t="shared" si="0"/>
        <v>3215000</v>
      </c>
      <c r="K18" t="b" cm="1">
        <f t="array" ref="K18:Q18">TRANSPOSE(I18&gt;$C$1:$C$7)</f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1</v>
      </c>
      <c r="R18">
        <f t="shared" si="1"/>
        <v>1</v>
      </c>
      <c r="S18" s="2" cm="1">
        <f t="array" aca="1" ref="S18" ca="1">MAX(0,J18*INDEX($B$1:$B$7,COUNTIF(_xlfn.ANCHORARRAY($K$2),TRUE))-INDEX(_xlfn.ANCHORARRAY($D$1),COUNTIF(_xlfn.ANCHORARRAY($K$2),TRUE)))</f>
        <v>160750</v>
      </c>
      <c r="T18" s="2">
        <v>1785000</v>
      </c>
      <c r="U18" s="2">
        <f t="shared" ca="1" si="2"/>
        <v>1945750</v>
      </c>
      <c r="V18" s="2">
        <v>3570000</v>
      </c>
      <c r="W18" t="b">
        <f t="shared" ca="1" si="3"/>
        <v>1</v>
      </c>
      <c r="X18" t="b">
        <f t="shared" ca="1" si="4"/>
        <v>1</v>
      </c>
    </row>
    <row r="19" spans="7:24" x14ac:dyDescent="0.25">
      <c r="G19">
        <v>22</v>
      </c>
      <c r="H19" s="2">
        <v>22000000</v>
      </c>
      <c r="I19" s="2">
        <v>4130000</v>
      </c>
      <c r="J19" s="2">
        <f t="shared" si="0"/>
        <v>4130000</v>
      </c>
      <c r="K19" t="b" cm="1">
        <f t="array" ref="K19:Q19">TRANSPOSE(I19&gt;$C$1:$C$7)</f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1</v>
      </c>
      <c r="R19">
        <f t="shared" si="1"/>
        <v>1</v>
      </c>
      <c r="S19" s="2" cm="1">
        <f t="array" aca="1" ref="S19" ca="1">MAX(0,J19*INDEX($B$1:$B$7,COUNTIF(_xlfn.ANCHORARRAY($K$2),TRUE))-INDEX(_xlfn.ANCHORARRAY($D$1),COUNTIF(_xlfn.ANCHORARRAY($K$2),TRUE)))</f>
        <v>206500</v>
      </c>
      <c r="T19" s="2">
        <v>1870000</v>
      </c>
      <c r="U19" s="2">
        <f t="shared" ca="1" si="2"/>
        <v>2076500</v>
      </c>
      <c r="V19" s="2">
        <v>3740000</v>
      </c>
      <c r="W19" t="b">
        <f t="shared" ca="1" si="3"/>
        <v>1</v>
      </c>
      <c r="X19" t="b">
        <f t="shared" ca="1" si="4"/>
        <v>1</v>
      </c>
    </row>
    <row r="20" spans="7:24" x14ac:dyDescent="0.25">
      <c r="G20">
        <v>23</v>
      </c>
      <c r="H20" s="2">
        <v>23000000</v>
      </c>
      <c r="I20" s="2">
        <v>5045000</v>
      </c>
      <c r="J20" s="2">
        <f t="shared" si="0"/>
        <v>5045000</v>
      </c>
      <c r="K20" t="b" cm="1">
        <f t="array" ref="K20:Q20">TRANSPOSE(I20&gt;$C$1:$C$7)</f>
        <v>1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1</v>
      </c>
      <c r="R20">
        <f t="shared" si="1"/>
        <v>2</v>
      </c>
      <c r="S20" s="2" cm="1">
        <f t="array" aca="1" ref="S20" ca="1">MAX(0,J20*INDEX($B$1:$B$7,COUNTIF(_xlfn.ANCHORARRAY($K$2),TRUE))-INDEX(_xlfn.ANCHORARRAY($D$1),COUNTIF(_xlfn.ANCHORARRAY($K$2),TRUE)))</f>
        <v>254500</v>
      </c>
      <c r="T20" s="2">
        <v>1955000</v>
      </c>
      <c r="U20" s="2">
        <f t="shared" ca="1" si="2"/>
        <v>2209500</v>
      </c>
      <c r="V20" s="2">
        <v>3910000</v>
      </c>
      <c r="W20" t="b">
        <f t="shared" ca="1" si="3"/>
        <v>1</v>
      </c>
      <c r="X20" t="b">
        <f t="shared" ca="1" si="4"/>
        <v>1</v>
      </c>
    </row>
    <row r="21" spans="7:24" x14ac:dyDescent="0.25">
      <c r="G21">
        <v>24</v>
      </c>
      <c r="H21" s="2">
        <v>24000000</v>
      </c>
      <c r="I21" s="2">
        <v>5960000</v>
      </c>
      <c r="J21" s="2">
        <f t="shared" si="0"/>
        <v>5960000</v>
      </c>
      <c r="K21" t="b" cm="1">
        <f t="array" ref="K21:Q21">TRANSPOSE(I21&gt;$C$1:$C$7)</f>
        <v>1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1</v>
      </c>
      <c r="R21">
        <f t="shared" si="1"/>
        <v>2</v>
      </c>
      <c r="S21" s="2" cm="1">
        <f t="array" aca="1" ref="S21" ca="1">MAX(0,J21*INDEX($B$1:$B$7,COUNTIF(_xlfn.ANCHORARRAY($K$2),TRUE))-INDEX(_xlfn.ANCHORARRAY($D$1),COUNTIF(_xlfn.ANCHORARRAY($K$2),TRUE)))</f>
        <v>346000</v>
      </c>
      <c r="T21" s="2">
        <v>2040000</v>
      </c>
      <c r="U21" s="2">
        <f t="shared" ca="1" si="2"/>
        <v>2386000</v>
      </c>
      <c r="V21" s="2">
        <v>4080000</v>
      </c>
      <c r="W21" t="b">
        <f t="shared" ca="1" si="3"/>
        <v>1</v>
      </c>
      <c r="X21" t="b">
        <f t="shared" ca="1" si="4"/>
        <v>1</v>
      </c>
    </row>
    <row r="22" spans="7:24" x14ac:dyDescent="0.25">
      <c r="G22">
        <v>25</v>
      </c>
      <c r="H22" s="2">
        <v>25000000</v>
      </c>
      <c r="I22" s="2">
        <v>6875000</v>
      </c>
      <c r="J22" s="2">
        <f t="shared" si="0"/>
        <v>6875000</v>
      </c>
      <c r="K22" t="b" cm="1">
        <f t="array" ref="K22:Q22">TRANSPOSE(I22&gt;$C$1:$C$7)</f>
        <v>1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1</v>
      </c>
      <c r="R22">
        <f t="shared" si="1"/>
        <v>2</v>
      </c>
      <c r="S22" s="2" cm="1">
        <f t="array" aca="1" ref="S22" ca="1">MAX(0,J22*INDEX($B$1:$B$7,COUNTIF(_xlfn.ANCHORARRAY($K$2),TRUE))-INDEX(_xlfn.ANCHORARRAY($D$1),COUNTIF(_xlfn.ANCHORARRAY($K$2),TRUE)))</f>
        <v>437500</v>
      </c>
      <c r="T22" s="2">
        <v>2125000</v>
      </c>
      <c r="U22" s="2">
        <f t="shared" ca="1" si="2"/>
        <v>2562500</v>
      </c>
      <c r="V22" s="2">
        <v>4250000</v>
      </c>
      <c r="W22" t="b">
        <f t="shared" ca="1" si="3"/>
        <v>1</v>
      </c>
      <c r="X22" t="b">
        <f t="shared" ca="1" si="4"/>
        <v>1</v>
      </c>
    </row>
    <row r="23" spans="7:24" x14ac:dyDescent="0.25">
      <c r="G23">
        <v>26</v>
      </c>
      <c r="H23" s="2">
        <v>26000000</v>
      </c>
      <c r="I23" s="2">
        <v>7790000</v>
      </c>
      <c r="J23" s="2">
        <f t="shared" si="0"/>
        <v>7790000</v>
      </c>
      <c r="K23" t="b" cm="1">
        <f t="array" ref="K23:Q23">TRANSPOSE(I23&gt;$C$1:$C$7)</f>
        <v>1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1</v>
      </c>
      <c r="R23">
        <f t="shared" si="1"/>
        <v>2</v>
      </c>
      <c r="S23" s="2" cm="1">
        <f t="array" aca="1" ref="S23" ca="1">MAX(0,J23*INDEX($B$1:$B$7,COUNTIF(_xlfn.ANCHORARRAY($K$2),TRUE))-INDEX(_xlfn.ANCHORARRAY($D$1),COUNTIF(_xlfn.ANCHORARRAY($K$2),TRUE)))</f>
        <v>529000</v>
      </c>
      <c r="T23" s="2">
        <v>2210000</v>
      </c>
      <c r="U23" s="2">
        <f t="shared" ca="1" si="2"/>
        <v>2739000</v>
      </c>
      <c r="V23" s="2">
        <v>4420000</v>
      </c>
      <c r="W23" t="b">
        <f t="shared" ca="1" si="3"/>
        <v>1</v>
      </c>
      <c r="X23" t="b">
        <f t="shared" ca="1" si="4"/>
        <v>1</v>
      </c>
    </row>
    <row r="24" spans="7:24" x14ac:dyDescent="0.25">
      <c r="G24">
        <v>27</v>
      </c>
      <c r="H24" s="2">
        <v>27000000</v>
      </c>
      <c r="I24" s="2">
        <v>8705000</v>
      </c>
      <c r="J24" s="2">
        <f t="shared" si="0"/>
        <v>8705000</v>
      </c>
      <c r="K24" t="b" cm="1">
        <f t="array" ref="K24:Q24">TRANSPOSE(I24&gt;$C$1:$C$7)</f>
        <v>1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1</v>
      </c>
      <c r="R24">
        <f t="shared" si="1"/>
        <v>2</v>
      </c>
      <c r="S24" s="2" cm="1">
        <f t="array" aca="1" ref="S24" ca="1">MAX(0,J24*INDEX($B$1:$B$7,COUNTIF(_xlfn.ANCHORARRAY($K$2),TRUE))-INDEX(_xlfn.ANCHORARRAY($D$1),COUNTIF(_xlfn.ANCHORARRAY($K$2),TRUE)))</f>
        <v>620500</v>
      </c>
      <c r="T24" s="2">
        <v>2295000</v>
      </c>
      <c r="U24" s="2">
        <f t="shared" ca="1" si="2"/>
        <v>2915500</v>
      </c>
      <c r="V24" s="2">
        <v>4590000</v>
      </c>
      <c r="W24" t="b">
        <f t="shared" ca="1" si="3"/>
        <v>1</v>
      </c>
      <c r="X24" t="b">
        <f t="shared" ca="1" si="4"/>
        <v>1</v>
      </c>
    </row>
    <row r="25" spans="7:24" x14ac:dyDescent="0.25">
      <c r="G25">
        <v>28</v>
      </c>
      <c r="H25" s="2">
        <v>28000000</v>
      </c>
      <c r="I25" s="2">
        <v>9620000.0000000019</v>
      </c>
      <c r="J25" s="2">
        <f t="shared" si="0"/>
        <v>9620000.0000000019</v>
      </c>
      <c r="K25" t="b" cm="1">
        <f t="array" ref="K25:Q25">TRANSPOSE(I25&gt;$C$1:$C$7)</f>
        <v>1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1</v>
      </c>
      <c r="R25">
        <f t="shared" si="1"/>
        <v>2</v>
      </c>
      <c r="S25" s="2" cm="1">
        <f t="array" aca="1" ref="S25" ca="1">MAX(0,J25*INDEX($B$1:$B$7,COUNTIF(_xlfn.ANCHORARRAY($K$2),TRUE))-INDEX(_xlfn.ANCHORARRAY($D$1),COUNTIF(_xlfn.ANCHORARRAY($K$2),TRUE)))</f>
        <v>712000.00000000023</v>
      </c>
      <c r="T25" s="2">
        <v>2380000</v>
      </c>
      <c r="U25" s="2">
        <f t="shared" ca="1" si="2"/>
        <v>3092000</v>
      </c>
      <c r="V25" s="2">
        <v>4760000</v>
      </c>
      <c r="W25" t="b">
        <f t="shared" ca="1" si="3"/>
        <v>1</v>
      </c>
      <c r="X25" t="b">
        <f t="shared" ca="1" si="4"/>
        <v>1</v>
      </c>
    </row>
    <row r="26" spans="7:24" x14ac:dyDescent="0.25">
      <c r="G26">
        <v>29</v>
      </c>
      <c r="H26" s="2">
        <v>29000000</v>
      </c>
      <c r="I26" s="2">
        <v>10535000</v>
      </c>
      <c r="J26" s="2">
        <f t="shared" si="0"/>
        <v>10535000</v>
      </c>
      <c r="K26" t="b" cm="1">
        <f t="array" ref="K26:Q26">TRANSPOSE(I26&gt;$C$1:$C$7)</f>
        <v>1</v>
      </c>
      <c r="L26" t="b">
        <v>1</v>
      </c>
      <c r="M26" t="b">
        <v>0</v>
      </c>
      <c r="N26" t="b">
        <v>0</v>
      </c>
      <c r="O26" t="b">
        <v>0</v>
      </c>
      <c r="P26" t="b">
        <v>0</v>
      </c>
      <c r="Q26" t="b">
        <v>1</v>
      </c>
      <c r="R26">
        <f t="shared" si="1"/>
        <v>3</v>
      </c>
      <c r="S26" s="2" cm="1">
        <f t="array" aca="1" ref="S26" ca="1">MAX(0,J26*INDEX($B$1:$B$7,COUNTIF(_xlfn.ANCHORARRAY($K$2),TRUE))-INDEX(_xlfn.ANCHORARRAY($D$1),COUNTIF(_xlfn.ANCHORARRAY($K$2),TRUE)))</f>
        <v>830250</v>
      </c>
      <c r="T26" s="2">
        <v>2465000</v>
      </c>
      <c r="U26" s="2">
        <f t="shared" ca="1" si="2"/>
        <v>3295250</v>
      </c>
      <c r="V26" s="2">
        <v>4930000</v>
      </c>
      <c r="W26" t="b">
        <f t="shared" ca="1" si="3"/>
        <v>1</v>
      </c>
      <c r="X26" t="b">
        <f t="shared" ca="1" si="4"/>
        <v>1</v>
      </c>
    </row>
    <row r="27" spans="7:24" x14ac:dyDescent="0.25">
      <c r="G27">
        <v>30</v>
      </c>
      <c r="H27" s="2">
        <v>30000000</v>
      </c>
      <c r="I27" s="2">
        <v>11450000</v>
      </c>
      <c r="J27" s="2">
        <f t="shared" si="0"/>
        <v>11450000</v>
      </c>
      <c r="K27" t="b" cm="1">
        <f t="array" ref="K27:Q27">TRANSPOSE(I27&gt;$C$1:$C$7)</f>
        <v>1</v>
      </c>
      <c r="L27" t="b">
        <v>1</v>
      </c>
      <c r="M27" t="b">
        <v>0</v>
      </c>
      <c r="N27" t="b">
        <v>0</v>
      </c>
      <c r="O27" t="b">
        <v>0</v>
      </c>
      <c r="P27" t="b">
        <v>0</v>
      </c>
      <c r="Q27" t="b">
        <v>1</v>
      </c>
      <c r="R27">
        <f t="shared" si="1"/>
        <v>3</v>
      </c>
      <c r="S27" s="2" cm="1">
        <f t="array" aca="1" ref="S27" ca="1">MAX(0,J27*INDEX($B$1:$B$7,COUNTIF(_xlfn.ANCHORARRAY($K$2),TRUE))-INDEX(_xlfn.ANCHORARRAY($D$1),COUNTIF(_xlfn.ANCHORARRAY($K$2),TRUE)))</f>
        <v>967500</v>
      </c>
      <c r="T27" s="2">
        <v>2550000</v>
      </c>
      <c r="U27" s="2">
        <f t="shared" ca="1" si="2"/>
        <v>3517500</v>
      </c>
      <c r="V27" s="2">
        <v>5100000</v>
      </c>
      <c r="W27" t="b">
        <f t="shared" ca="1" si="3"/>
        <v>1</v>
      </c>
      <c r="X27" t="b">
        <f t="shared" ca="1" si="4"/>
        <v>1</v>
      </c>
    </row>
    <row r="28" spans="7:24" x14ac:dyDescent="0.25">
      <c r="G28">
        <v>31</v>
      </c>
      <c r="H28" s="2">
        <v>31000000</v>
      </c>
      <c r="I28" s="2">
        <v>12365000</v>
      </c>
      <c r="J28" s="2">
        <f t="shared" si="0"/>
        <v>12365000</v>
      </c>
      <c r="K28" t="b" cm="1">
        <f t="array" ref="K28:Q28">TRANSPOSE(I28&gt;$C$1:$C$7)</f>
        <v>1</v>
      </c>
      <c r="L28" t="b">
        <v>1</v>
      </c>
      <c r="M28" t="b">
        <v>0</v>
      </c>
      <c r="N28" t="b">
        <v>0</v>
      </c>
      <c r="O28" t="b">
        <v>0</v>
      </c>
      <c r="P28" t="b">
        <v>0</v>
      </c>
      <c r="Q28" t="b">
        <v>1</v>
      </c>
      <c r="R28">
        <f t="shared" si="1"/>
        <v>3</v>
      </c>
      <c r="S28" s="2" cm="1">
        <f t="array" aca="1" ref="S28" ca="1">MAX(0,J28*INDEX($B$1:$B$7,COUNTIF(_xlfn.ANCHORARRAY($K$2),TRUE))-INDEX(_xlfn.ANCHORARRAY($D$1),COUNTIF(_xlfn.ANCHORARRAY($K$2),TRUE)))</f>
        <v>1104750</v>
      </c>
      <c r="T28" s="2">
        <v>2635000</v>
      </c>
      <c r="U28" s="2">
        <f t="shared" ca="1" si="2"/>
        <v>3739750</v>
      </c>
      <c r="V28" s="2">
        <v>5270000</v>
      </c>
      <c r="W28" t="b">
        <f t="shared" ca="1" si="3"/>
        <v>1</v>
      </c>
      <c r="X28" t="b">
        <f t="shared" ca="1" si="4"/>
        <v>1</v>
      </c>
    </row>
    <row r="29" spans="7:24" x14ac:dyDescent="0.25">
      <c r="G29">
        <v>32</v>
      </c>
      <c r="H29" s="2">
        <v>32000000</v>
      </c>
      <c r="I29" s="2">
        <v>13280000</v>
      </c>
      <c r="J29" s="2">
        <f t="shared" si="0"/>
        <v>13280000</v>
      </c>
      <c r="K29" t="b" cm="1">
        <f t="array" ref="K29:Q29">TRANSPOSE(I29&gt;$C$1:$C$7)</f>
        <v>1</v>
      </c>
      <c r="L29" t="b">
        <v>1</v>
      </c>
      <c r="M29" t="b">
        <v>0</v>
      </c>
      <c r="N29" t="b">
        <v>0</v>
      </c>
      <c r="O29" t="b">
        <v>0</v>
      </c>
      <c r="P29" t="b">
        <v>0</v>
      </c>
      <c r="Q29" t="b">
        <v>1</v>
      </c>
      <c r="R29">
        <f t="shared" si="1"/>
        <v>3</v>
      </c>
      <c r="S29" s="2" cm="1">
        <f t="array" aca="1" ref="S29" ca="1">MAX(0,J29*INDEX($B$1:$B$7,COUNTIF(_xlfn.ANCHORARRAY($K$2),TRUE))-INDEX(_xlfn.ANCHORARRAY($D$1),COUNTIF(_xlfn.ANCHORARRAY($K$2),TRUE)))</f>
        <v>1242000</v>
      </c>
      <c r="T29" s="2">
        <v>2720000</v>
      </c>
      <c r="U29" s="2">
        <f t="shared" ca="1" si="2"/>
        <v>3962000</v>
      </c>
      <c r="V29" s="2">
        <v>5440000</v>
      </c>
      <c r="W29" t="b">
        <f t="shared" ca="1" si="3"/>
        <v>1</v>
      </c>
      <c r="X29" t="b">
        <f t="shared" ca="1" si="4"/>
        <v>1</v>
      </c>
    </row>
    <row r="30" spans="7:24" x14ac:dyDescent="0.25">
      <c r="G30">
        <v>33</v>
      </c>
      <c r="H30" s="2">
        <v>33000000</v>
      </c>
      <c r="I30" s="2">
        <v>14195000</v>
      </c>
      <c r="J30" s="2">
        <f t="shared" si="0"/>
        <v>14195000</v>
      </c>
      <c r="K30" t="b" cm="1">
        <f t="array" ref="K30:Q30">TRANSPOSE(I30&gt;$C$1:$C$7)</f>
        <v>1</v>
      </c>
      <c r="L30" t="b">
        <v>1</v>
      </c>
      <c r="M30" t="b">
        <v>0</v>
      </c>
      <c r="N30" t="b">
        <v>0</v>
      </c>
      <c r="O30" t="b">
        <v>0</v>
      </c>
      <c r="P30" t="b">
        <v>0</v>
      </c>
      <c r="Q30" t="b">
        <v>1</v>
      </c>
      <c r="R30">
        <f t="shared" si="1"/>
        <v>3</v>
      </c>
      <c r="S30" s="2" cm="1">
        <f t="array" aca="1" ref="S30" ca="1">MAX(0,J30*INDEX($B$1:$B$7,COUNTIF(_xlfn.ANCHORARRAY($K$2),TRUE))-INDEX(_xlfn.ANCHORARRAY($D$1),COUNTIF(_xlfn.ANCHORARRAY($K$2),TRUE)))</f>
        <v>1379250</v>
      </c>
      <c r="T30" s="2">
        <v>2805000</v>
      </c>
      <c r="U30" s="2">
        <f t="shared" ca="1" si="2"/>
        <v>4184250</v>
      </c>
      <c r="V30" s="2">
        <v>5610000</v>
      </c>
      <c r="W30" t="b">
        <f t="shared" ca="1" si="3"/>
        <v>1</v>
      </c>
      <c r="X30" t="b">
        <f t="shared" ca="1" si="4"/>
        <v>1</v>
      </c>
    </row>
    <row r="31" spans="7:24" x14ac:dyDescent="0.25">
      <c r="G31">
        <v>34</v>
      </c>
      <c r="H31" s="2">
        <v>34000000</v>
      </c>
      <c r="I31" s="2">
        <v>15110000</v>
      </c>
      <c r="J31" s="2">
        <f t="shared" si="0"/>
        <v>15110000</v>
      </c>
      <c r="K31" t="b" cm="1">
        <f t="array" ref="K31:Q31">TRANSPOSE(I31&gt;$C$1:$C$7)</f>
        <v>1</v>
      </c>
      <c r="L31" t="b">
        <v>1</v>
      </c>
      <c r="M31" t="b">
        <v>0</v>
      </c>
      <c r="N31" t="b">
        <v>0</v>
      </c>
      <c r="O31" t="b">
        <v>0</v>
      </c>
      <c r="P31" t="b">
        <v>0</v>
      </c>
      <c r="Q31" t="b">
        <v>1</v>
      </c>
      <c r="R31">
        <f t="shared" si="1"/>
        <v>3</v>
      </c>
      <c r="S31" s="2" cm="1">
        <f t="array" aca="1" ref="S31" ca="1">MAX(0,J31*INDEX($B$1:$B$7,COUNTIF(_xlfn.ANCHORARRAY($K$2),TRUE))-INDEX(_xlfn.ANCHORARRAY($D$1),COUNTIF(_xlfn.ANCHORARRAY($K$2),TRUE)))</f>
        <v>1516500</v>
      </c>
      <c r="T31" s="2">
        <v>2890000</v>
      </c>
      <c r="U31" s="2">
        <f t="shared" ca="1" si="2"/>
        <v>4406500</v>
      </c>
      <c r="V31" s="2">
        <v>5780000</v>
      </c>
      <c r="W31" t="b">
        <f t="shared" ca="1" si="3"/>
        <v>1</v>
      </c>
      <c r="X31" t="b">
        <f t="shared" ca="1" si="4"/>
        <v>1</v>
      </c>
    </row>
    <row r="32" spans="7:24" x14ac:dyDescent="0.25">
      <c r="G32">
        <v>35</v>
      </c>
      <c r="H32" s="2">
        <v>35000000</v>
      </c>
      <c r="I32" s="2">
        <v>16024999.999999998</v>
      </c>
      <c r="J32" s="2">
        <f t="shared" si="0"/>
        <v>16024999.999999998</v>
      </c>
      <c r="K32" t="b" cm="1">
        <f t="array" ref="K32:Q32">TRANSPOSE(I32&gt;$C$1:$C$7)</f>
        <v>1</v>
      </c>
      <c r="L32" t="b">
        <v>1</v>
      </c>
      <c r="M32" t="b">
        <v>0</v>
      </c>
      <c r="N32" t="b">
        <v>0</v>
      </c>
      <c r="O32" t="b">
        <v>0</v>
      </c>
      <c r="P32" t="b">
        <v>0</v>
      </c>
      <c r="Q32" t="b">
        <v>1</v>
      </c>
      <c r="R32">
        <f t="shared" si="1"/>
        <v>3</v>
      </c>
      <c r="S32" s="2" cm="1">
        <f t="array" aca="1" ref="S32" ca="1">MAX(0,J32*INDEX($B$1:$B$7,COUNTIF(_xlfn.ANCHORARRAY($K$2),TRUE))-INDEX(_xlfn.ANCHORARRAY($D$1),COUNTIF(_xlfn.ANCHORARRAY($K$2),TRUE)))</f>
        <v>1653749.9999999995</v>
      </c>
      <c r="T32" s="2">
        <v>2975000</v>
      </c>
      <c r="U32" s="2">
        <f t="shared" ca="1" si="2"/>
        <v>4628750</v>
      </c>
      <c r="V32" s="2">
        <v>5950000</v>
      </c>
      <c r="W32" t="b">
        <f t="shared" ca="1" si="3"/>
        <v>1</v>
      </c>
      <c r="X32" t="b">
        <f t="shared" ca="1" si="4"/>
        <v>1</v>
      </c>
    </row>
    <row r="33" spans="7:24" x14ac:dyDescent="0.25">
      <c r="G33">
        <v>36</v>
      </c>
      <c r="H33" s="2">
        <v>36000000</v>
      </c>
      <c r="I33" s="2">
        <v>16940000</v>
      </c>
      <c r="J33" s="2">
        <f t="shared" si="0"/>
        <v>16940000</v>
      </c>
      <c r="K33" t="b" cm="1">
        <f t="array" ref="K33:Q33">TRANSPOSE(I33&gt;$C$1:$C$7)</f>
        <v>1</v>
      </c>
      <c r="L33" t="b">
        <v>1</v>
      </c>
      <c r="M33" t="b">
        <v>0</v>
      </c>
      <c r="N33" t="b">
        <v>0</v>
      </c>
      <c r="O33" t="b">
        <v>0</v>
      </c>
      <c r="P33" t="b">
        <v>0</v>
      </c>
      <c r="Q33" t="b">
        <v>1</v>
      </c>
      <c r="R33">
        <f t="shared" si="1"/>
        <v>3</v>
      </c>
      <c r="S33" s="2" cm="1">
        <f t="array" aca="1" ref="S33" ca="1">MAX(0,J33*INDEX($B$1:$B$7,COUNTIF(_xlfn.ANCHORARRAY($K$2),TRUE))-INDEX(_xlfn.ANCHORARRAY($D$1),COUNTIF(_xlfn.ANCHORARRAY($K$2),TRUE)))</f>
        <v>1791000</v>
      </c>
      <c r="T33" s="2">
        <v>3060000</v>
      </c>
      <c r="U33" s="2">
        <f t="shared" ca="1" si="2"/>
        <v>4851000</v>
      </c>
      <c r="V33" s="2">
        <v>6120000</v>
      </c>
      <c r="W33" t="b">
        <f t="shared" ca="1" si="3"/>
        <v>1</v>
      </c>
      <c r="X33" t="b">
        <f t="shared" ca="1" si="4"/>
        <v>1</v>
      </c>
    </row>
    <row r="34" spans="7:24" x14ac:dyDescent="0.25">
      <c r="G34">
        <v>37</v>
      </c>
      <c r="H34" s="2">
        <v>37000000</v>
      </c>
      <c r="I34" s="2">
        <v>17855000</v>
      </c>
      <c r="J34" s="2">
        <f t="shared" si="0"/>
        <v>17855000</v>
      </c>
      <c r="K34" t="b" cm="1">
        <f t="array" ref="K34:Q34">TRANSPOSE(I34&gt;$C$1:$C$7)</f>
        <v>1</v>
      </c>
      <c r="L34" t="b">
        <v>1</v>
      </c>
      <c r="M34" t="b">
        <v>0</v>
      </c>
      <c r="N34" t="b">
        <v>0</v>
      </c>
      <c r="O34" t="b">
        <v>0</v>
      </c>
      <c r="P34" t="b">
        <v>0</v>
      </c>
      <c r="Q34" t="b">
        <v>1</v>
      </c>
      <c r="R34">
        <f t="shared" si="1"/>
        <v>3</v>
      </c>
      <c r="S34" s="2" cm="1">
        <f t="array" aca="1" ref="S34" ca="1">MAX(0,J34*INDEX($B$1:$B$7,COUNTIF(_xlfn.ANCHORARRAY($K$2),TRUE))-INDEX(_xlfn.ANCHORARRAY($D$1),COUNTIF(_xlfn.ANCHORARRAY($K$2),TRUE)))</f>
        <v>1928250</v>
      </c>
      <c r="T34" s="2">
        <v>3145000</v>
      </c>
      <c r="U34" s="2">
        <f t="shared" ca="1" si="2"/>
        <v>5073250</v>
      </c>
      <c r="V34" s="2">
        <v>6290000</v>
      </c>
      <c r="W34" t="b">
        <f t="shared" ca="1" si="3"/>
        <v>1</v>
      </c>
      <c r="X34" t="b">
        <f t="shared" ca="1" si="4"/>
        <v>1</v>
      </c>
    </row>
    <row r="35" spans="7:24" x14ac:dyDescent="0.25">
      <c r="G35">
        <v>38</v>
      </c>
      <c r="H35" s="2">
        <v>38000000</v>
      </c>
      <c r="I35" s="2">
        <v>18770000</v>
      </c>
      <c r="J35" s="2">
        <f t="shared" si="0"/>
        <v>18770000</v>
      </c>
      <c r="K35" t="b" cm="1">
        <f t="array" ref="K35:Q35">TRANSPOSE(I35&gt;$C$1:$C$7)</f>
        <v>1</v>
      </c>
      <c r="L35" t="b">
        <v>1</v>
      </c>
      <c r="M35" t="b">
        <v>1</v>
      </c>
      <c r="N35" t="b">
        <v>0</v>
      </c>
      <c r="O35" t="b">
        <v>0</v>
      </c>
      <c r="P35" t="b">
        <v>0</v>
      </c>
      <c r="Q35" t="b">
        <v>1</v>
      </c>
      <c r="R35">
        <f t="shared" si="1"/>
        <v>4</v>
      </c>
      <c r="S35" s="2" cm="1">
        <f t="array" aca="1" ref="S35" ca="1">MAX(0,J35*INDEX($B$1:$B$7,COUNTIF(_xlfn.ANCHORARRAY($K$2),TRUE))-INDEX(_xlfn.ANCHORARRAY($D$1),COUNTIF(_xlfn.ANCHORARRAY($K$2),TRUE)))</f>
        <v>2104000</v>
      </c>
      <c r="T35" s="2">
        <v>3230000</v>
      </c>
      <c r="U35" s="2">
        <f t="shared" ca="1" si="2"/>
        <v>5334000</v>
      </c>
      <c r="V35" s="2">
        <v>6460000</v>
      </c>
      <c r="W35" t="b">
        <f t="shared" ca="1" si="3"/>
        <v>1</v>
      </c>
      <c r="X35" t="b">
        <f t="shared" ca="1" si="4"/>
        <v>1</v>
      </c>
    </row>
    <row r="36" spans="7:24" x14ac:dyDescent="0.25">
      <c r="G36">
        <v>39</v>
      </c>
      <c r="H36" s="2">
        <v>39000000</v>
      </c>
      <c r="I36" s="2">
        <v>19685000</v>
      </c>
      <c r="J36" s="2">
        <f t="shared" si="0"/>
        <v>19685000</v>
      </c>
      <c r="K36" t="b" cm="1">
        <f t="array" ref="K36:Q36">TRANSPOSE(I36&gt;$C$1:$C$7)</f>
        <v>1</v>
      </c>
      <c r="L36" t="b">
        <v>1</v>
      </c>
      <c r="M36" t="b">
        <v>1</v>
      </c>
      <c r="N36" t="b">
        <v>0</v>
      </c>
      <c r="O36" t="b">
        <v>0</v>
      </c>
      <c r="P36" t="b">
        <v>0</v>
      </c>
      <c r="Q36" t="b">
        <v>1</v>
      </c>
      <c r="R36">
        <f t="shared" si="1"/>
        <v>4</v>
      </c>
      <c r="S36" s="2" cm="1">
        <f t="array" aca="1" ref="S36" ca="1">MAX(0,J36*INDEX($B$1:$B$7,COUNTIF(_xlfn.ANCHORARRAY($K$2),TRUE))-INDEX(_xlfn.ANCHORARRAY($D$1),COUNTIF(_xlfn.ANCHORARRAY($K$2),TRUE)))</f>
        <v>2287000</v>
      </c>
      <c r="T36" s="2">
        <v>3315000</v>
      </c>
      <c r="U36" s="2">
        <f t="shared" ca="1" si="2"/>
        <v>5602000</v>
      </c>
      <c r="V36" s="2">
        <v>6630000</v>
      </c>
      <c r="W36" t="b">
        <f t="shared" ca="1" si="3"/>
        <v>1</v>
      </c>
      <c r="X36" t="b">
        <f t="shared" ca="1" si="4"/>
        <v>1</v>
      </c>
    </row>
    <row r="37" spans="7:24" x14ac:dyDescent="0.25">
      <c r="G37">
        <v>40</v>
      </c>
      <c r="H37" s="2">
        <v>40000000</v>
      </c>
      <c r="I37" s="2">
        <v>20600000</v>
      </c>
      <c r="J37" s="2">
        <f t="shared" si="0"/>
        <v>20600000</v>
      </c>
      <c r="K37" t="b" cm="1">
        <f t="array" ref="K37:Q37">TRANSPOSE(I37&gt;$C$1:$C$7)</f>
        <v>1</v>
      </c>
      <c r="L37" t="b">
        <v>1</v>
      </c>
      <c r="M37" t="b">
        <v>1</v>
      </c>
      <c r="N37" t="b">
        <v>0</v>
      </c>
      <c r="O37" t="b">
        <v>0</v>
      </c>
      <c r="P37" t="b">
        <v>0</v>
      </c>
      <c r="Q37" t="b">
        <v>1</v>
      </c>
      <c r="R37">
        <f t="shared" si="1"/>
        <v>4</v>
      </c>
      <c r="S37" s="2" cm="1">
        <f t="array" aca="1" ref="S37" ca="1">MAX(0,J37*INDEX($B$1:$B$7,COUNTIF(_xlfn.ANCHORARRAY($K$2),TRUE))-INDEX(_xlfn.ANCHORARRAY($D$1),COUNTIF(_xlfn.ANCHORARRAY($K$2),TRUE)))</f>
        <v>2470000</v>
      </c>
      <c r="T37" s="2">
        <v>3400000</v>
      </c>
      <c r="U37" s="2">
        <f t="shared" ca="1" si="2"/>
        <v>5870000</v>
      </c>
      <c r="V37" s="2">
        <v>6800000</v>
      </c>
      <c r="W37" t="b">
        <f t="shared" ca="1" si="3"/>
        <v>1</v>
      </c>
      <c r="X37" t="b">
        <f t="shared" ca="1" si="4"/>
        <v>1</v>
      </c>
    </row>
    <row r="38" spans="7:24" x14ac:dyDescent="0.25">
      <c r="G38">
        <v>41</v>
      </c>
      <c r="H38" s="2">
        <v>41000000</v>
      </c>
      <c r="I38" s="2">
        <v>21515000</v>
      </c>
      <c r="J38" s="2">
        <f t="shared" si="0"/>
        <v>21515000</v>
      </c>
      <c r="K38" t="b" cm="1">
        <f t="array" ref="K38:Q38">TRANSPOSE(I38&gt;$C$1:$C$7)</f>
        <v>1</v>
      </c>
      <c r="L38" t="b">
        <v>1</v>
      </c>
      <c r="M38" t="b">
        <v>1</v>
      </c>
      <c r="N38" t="b">
        <v>0</v>
      </c>
      <c r="O38" t="b">
        <v>0</v>
      </c>
      <c r="P38" t="b">
        <v>0</v>
      </c>
      <c r="Q38" t="b">
        <v>1</v>
      </c>
      <c r="R38">
        <f t="shared" si="1"/>
        <v>4</v>
      </c>
      <c r="S38" s="2" cm="1">
        <f t="array" aca="1" ref="S38" ca="1">MAX(0,J38*INDEX($B$1:$B$7,COUNTIF(_xlfn.ANCHORARRAY($K$2),TRUE))-INDEX(_xlfn.ANCHORARRAY($D$1),COUNTIF(_xlfn.ANCHORARRAY($K$2),TRUE)))</f>
        <v>2653000</v>
      </c>
      <c r="T38" s="2">
        <v>3485000</v>
      </c>
      <c r="U38" s="2">
        <f t="shared" ca="1" si="2"/>
        <v>6138000</v>
      </c>
      <c r="V38" s="2">
        <v>6970000</v>
      </c>
      <c r="W38" t="b">
        <f t="shared" ca="1" si="3"/>
        <v>1</v>
      </c>
      <c r="X38" t="b">
        <f t="shared" ca="1" si="4"/>
        <v>1</v>
      </c>
    </row>
    <row r="39" spans="7:24" x14ac:dyDescent="0.25">
      <c r="G39">
        <v>42</v>
      </c>
      <c r="H39" s="2">
        <v>42000000</v>
      </c>
      <c r="I39" s="2">
        <v>22430000</v>
      </c>
      <c r="J39" s="2">
        <f t="shared" si="0"/>
        <v>22430000</v>
      </c>
      <c r="K39" t="b" cm="1">
        <f t="array" ref="K39:Q39">TRANSPOSE(I39&gt;$C$1:$C$7)</f>
        <v>1</v>
      </c>
      <c r="L39" t="b">
        <v>1</v>
      </c>
      <c r="M39" t="b">
        <v>1</v>
      </c>
      <c r="N39" t="b">
        <v>0</v>
      </c>
      <c r="O39" t="b">
        <v>0</v>
      </c>
      <c r="P39" t="b">
        <v>0</v>
      </c>
      <c r="Q39" t="b">
        <v>1</v>
      </c>
      <c r="R39">
        <f t="shared" si="1"/>
        <v>4</v>
      </c>
      <c r="S39" s="2" cm="1">
        <f t="array" aca="1" ref="S39" ca="1">MAX(0,J39*INDEX($B$1:$B$7,COUNTIF(_xlfn.ANCHORARRAY($K$2),TRUE))-INDEX(_xlfn.ANCHORARRAY($D$1),COUNTIF(_xlfn.ANCHORARRAY($K$2),TRUE)))</f>
        <v>2836000</v>
      </c>
      <c r="T39" s="2">
        <v>3570000</v>
      </c>
      <c r="U39" s="2">
        <f t="shared" ca="1" si="2"/>
        <v>6406000</v>
      </c>
      <c r="V39" s="2">
        <v>7140000</v>
      </c>
      <c r="W39" t="b">
        <f t="shared" ca="1" si="3"/>
        <v>1</v>
      </c>
      <c r="X39" t="b">
        <f t="shared" ca="1" si="4"/>
        <v>1</v>
      </c>
    </row>
    <row r="40" spans="7:24" x14ac:dyDescent="0.25">
      <c r="G40">
        <v>43</v>
      </c>
      <c r="H40" s="2">
        <v>43000000</v>
      </c>
      <c r="I40" s="2">
        <v>23345000</v>
      </c>
      <c r="J40" s="2">
        <f t="shared" si="0"/>
        <v>23345000</v>
      </c>
      <c r="K40" t="b" cm="1">
        <f t="array" ref="K40:Q40">TRANSPOSE(I40&gt;$C$1:$C$7)</f>
        <v>1</v>
      </c>
      <c r="L40" t="b">
        <v>1</v>
      </c>
      <c r="M40" t="b">
        <v>1</v>
      </c>
      <c r="N40" t="b">
        <v>0</v>
      </c>
      <c r="O40" t="b">
        <v>0</v>
      </c>
      <c r="P40" t="b">
        <v>0</v>
      </c>
      <c r="Q40" t="b">
        <v>1</v>
      </c>
      <c r="R40">
        <f t="shared" si="1"/>
        <v>4</v>
      </c>
      <c r="S40" s="2" cm="1">
        <f t="array" aca="1" ref="S40" ca="1">MAX(0,J40*INDEX($B$1:$B$7,COUNTIF(_xlfn.ANCHORARRAY($K$2),TRUE))-INDEX(_xlfn.ANCHORARRAY($D$1),COUNTIF(_xlfn.ANCHORARRAY($K$2),TRUE)))</f>
        <v>3019000</v>
      </c>
      <c r="T40" s="2">
        <v>3655000</v>
      </c>
      <c r="U40" s="2">
        <f t="shared" ca="1" si="2"/>
        <v>6674000</v>
      </c>
      <c r="V40" s="2">
        <v>7310000</v>
      </c>
      <c r="W40" t="b">
        <f t="shared" ca="1" si="3"/>
        <v>1</v>
      </c>
      <c r="X40" t="b">
        <f t="shared" ca="1" si="4"/>
        <v>1</v>
      </c>
    </row>
    <row r="41" spans="7:24" x14ac:dyDescent="0.25">
      <c r="G41">
        <v>44</v>
      </c>
      <c r="H41" s="2">
        <v>44000000</v>
      </c>
      <c r="I41" s="2">
        <v>24259999.999999996</v>
      </c>
      <c r="J41" s="2">
        <f t="shared" si="0"/>
        <v>24259999.999999996</v>
      </c>
      <c r="K41" t="b" cm="1">
        <f t="array" ref="K41:Q41">TRANSPOSE(I41&gt;$C$1:$C$7)</f>
        <v>1</v>
      </c>
      <c r="L41" t="b">
        <v>1</v>
      </c>
      <c r="M41" t="b">
        <v>1</v>
      </c>
      <c r="N41" t="b">
        <v>0</v>
      </c>
      <c r="O41" t="b">
        <v>0</v>
      </c>
      <c r="P41" t="b">
        <v>0</v>
      </c>
      <c r="Q41" t="b">
        <v>1</v>
      </c>
      <c r="R41">
        <f t="shared" si="1"/>
        <v>4</v>
      </c>
      <c r="S41" s="2" cm="1">
        <f t="array" aca="1" ref="S41" ca="1">MAX(0,J41*INDEX($B$1:$B$7,COUNTIF(_xlfn.ANCHORARRAY($K$2),TRUE))-INDEX(_xlfn.ANCHORARRAY($D$1),COUNTIF(_xlfn.ANCHORARRAY($K$2),TRUE)))</f>
        <v>3201999.9999999991</v>
      </c>
      <c r="T41" s="2">
        <v>3740000</v>
      </c>
      <c r="U41" s="2">
        <f t="shared" ca="1" si="2"/>
        <v>6941999.9999999991</v>
      </c>
      <c r="V41" s="2">
        <v>7480000</v>
      </c>
      <c r="W41" t="b">
        <f t="shared" ca="1" si="3"/>
        <v>1</v>
      </c>
      <c r="X41" t="b">
        <f t="shared" ca="1" si="4"/>
        <v>1</v>
      </c>
    </row>
    <row r="42" spans="7:24" x14ac:dyDescent="0.25">
      <c r="G42">
        <v>45</v>
      </c>
      <c r="H42" s="2">
        <v>45000000</v>
      </c>
      <c r="I42" s="2">
        <v>25175000</v>
      </c>
      <c r="J42" s="2">
        <f t="shared" si="0"/>
        <v>25175000</v>
      </c>
      <c r="K42" t="b" cm="1">
        <f t="array" ref="K42:Q42">TRANSPOSE(I42&gt;$C$1:$C$7)</f>
        <v>1</v>
      </c>
      <c r="L42" t="b">
        <v>1</v>
      </c>
      <c r="M42" t="b">
        <v>1</v>
      </c>
      <c r="N42" t="b">
        <v>0</v>
      </c>
      <c r="O42" t="b">
        <v>0</v>
      </c>
      <c r="P42" t="b">
        <v>0</v>
      </c>
      <c r="Q42" t="b">
        <v>1</v>
      </c>
      <c r="R42">
        <f t="shared" si="1"/>
        <v>4</v>
      </c>
      <c r="S42" s="2" cm="1">
        <f t="array" aca="1" ref="S42" ca="1">MAX(0,J42*INDEX($B$1:$B$7,COUNTIF(_xlfn.ANCHORARRAY($K$2),TRUE))-INDEX(_xlfn.ANCHORARRAY($D$1),COUNTIF(_xlfn.ANCHORARRAY($K$2),TRUE)))</f>
        <v>3385000</v>
      </c>
      <c r="T42" s="2">
        <v>3825000</v>
      </c>
      <c r="U42" s="2">
        <f t="shared" ca="1" si="2"/>
        <v>7210000</v>
      </c>
      <c r="V42" s="2">
        <v>7650000</v>
      </c>
      <c r="W42" t="b">
        <f t="shared" ca="1" si="3"/>
        <v>1</v>
      </c>
      <c r="X42" t="b">
        <f t="shared" ca="1" si="4"/>
        <v>1</v>
      </c>
    </row>
    <row r="43" spans="7:24" x14ac:dyDescent="0.25">
      <c r="G43">
        <v>46</v>
      </c>
      <c r="H43" s="2">
        <v>46000000</v>
      </c>
      <c r="I43" s="2">
        <v>26090000</v>
      </c>
      <c r="J43" s="2">
        <f t="shared" si="0"/>
        <v>26090000</v>
      </c>
      <c r="K43" t="b" cm="1">
        <f t="array" ref="K43:Q43">TRANSPOSE(I43&gt;$C$1:$C$7)</f>
        <v>1</v>
      </c>
      <c r="L43" t="b">
        <v>1</v>
      </c>
      <c r="M43" t="b">
        <v>1</v>
      </c>
      <c r="N43" t="b">
        <v>0</v>
      </c>
      <c r="O43" t="b">
        <v>0</v>
      </c>
      <c r="P43" t="b">
        <v>0</v>
      </c>
      <c r="Q43" t="b">
        <v>1</v>
      </c>
      <c r="R43">
        <f t="shared" si="1"/>
        <v>4</v>
      </c>
      <c r="S43" s="2" cm="1">
        <f t="array" aca="1" ref="S43" ca="1">MAX(0,J43*INDEX($B$1:$B$7,COUNTIF(_xlfn.ANCHORARRAY($K$2),TRUE))-INDEX(_xlfn.ANCHORARRAY($D$1),COUNTIF(_xlfn.ANCHORARRAY($K$2),TRUE)))</f>
        <v>3568000</v>
      </c>
      <c r="T43" s="2">
        <v>3910000</v>
      </c>
      <c r="U43" s="2">
        <f t="shared" ca="1" si="2"/>
        <v>7478000</v>
      </c>
      <c r="V43" s="2">
        <v>7820000</v>
      </c>
      <c r="W43" t="b">
        <f t="shared" ca="1" si="3"/>
        <v>1</v>
      </c>
      <c r="X43" t="b">
        <f t="shared" ca="1" si="4"/>
        <v>1</v>
      </c>
    </row>
    <row r="44" spans="7:24" x14ac:dyDescent="0.25">
      <c r="G44">
        <v>47</v>
      </c>
      <c r="H44" s="2">
        <v>47000000</v>
      </c>
      <c r="I44" s="2">
        <v>27005000</v>
      </c>
      <c r="J44" s="2">
        <f t="shared" si="0"/>
        <v>27005000</v>
      </c>
      <c r="K44" t="b" cm="1">
        <f t="array" ref="K44:Q44">TRANSPOSE(I44&gt;$C$1:$C$7)</f>
        <v>1</v>
      </c>
      <c r="L44" t="b">
        <v>1</v>
      </c>
      <c r="M44" t="b">
        <v>1</v>
      </c>
      <c r="N44" t="b">
        <v>0</v>
      </c>
      <c r="O44" t="b">
        <v>0</v>
      </c>
      <c r="P44" t="b">
        <v>0</v>
      </c>
      <c r="Q44" t="b">
        <v>1</v>
      </c>
      <c r="R44">
        <f t="shared" si="1"/>
        <v>4</v>
      </c>
      <c r="S44" s="2" cm="1">
        <f t="array" aca="1" ref="S44" ca="1">MAX(0,J44*INDEX($B$1:$B$7,COUNTIF(_xlfn.ANCHORARRAY($K$2),TRUE))-INDEX(_xlfn.ANCHORARRAY($D$1),COUNTIF(_xlfn.ANCHORARRAY($K$2),TRUE)))</f>
        <v>3751000</v>
      </c>
      <c r="T44" s="2">
        <v>3995000</v>
      </c>
      <c r="U44" s="2">
        <f t="shared" ca="1" si="2"/>
        <v>7746000</v>
      </c>
      <c r="V44" s="2">
        <v>7990000</v>
      </c>
      <c r="W44" t="b">
        <f t="shared" ca="1" si="3"/>
        <v>1</v>
      </c>
      <c r="X44" t="b">
        <f t="shared" ca="1" si="4"/>
        <v>1</v>
      </c>
    </row>
    <row r="45" spans="7:24" x14ac:dyDescent="0.25">
      <c r="G45">
        <v>48</v>
      </c>
      <c r="H45" s="2">
        <v>48000000</v>
      </c>
      <c r="I45" s="2">
        <v>27920000</v>
      </c>
      <c r="J45" s="2">
        <f t="shared" si="0"/>
        <v>27920000</v>
      </c>
      <c r="K45" t="b" cm="1">
        <f t="array" ref="K45:Q45">TRANSPOSE(I45&gt;$C$1:$C$7)</f>
        <v>1</v>
      </c>
      <c r="L45" t="b">
        <v>1</v>
      </c>
      <c r="M45" t="b">
        <v>1</v>
      </c>
      <c r="N45" t="b">
        <v>0</v>
      </c>
      <c r="O45" t="b">
        <v>0</v>
      </c>
      <c r="P45" t="b">
        <v>0</v>
      </c>
      <c r="Q45" t="b">
        <v>1</v>
      </c>
      <c r="R45">
        <f t="shared" si="1"/>
        <v>4</v>
      </c>
      <c r="S45" s="2" cm="1">
        <f t="array" aca="1" ref="S45" ca="1">MAX(0,J45*INDEX($B$1:$B$7,COUNTIF(_xlfn.ANCHORARRAY($K$2),TRUE))-INDEX(_xlfn.ANCHORARRAY($D$1),COUNTIF(_xlfn.ANCHORARRAY($K$2),TRUE)))</f>
        <v>3934000</v>
      </c>
      <c r="T45" s="2">
        <v>4080000</v>
      </c>
      <c r="U45" s="2">
        <f t="shared" ca="1" si="2"/>
        <v>8014000</v>
      </c>
      <c r="V45" s="2">
        <v>8160000</v>
      </c>
      <c r="W45" t="b">
        <f t="shared" ca="1" si="3"/>
        <v>1</v>
      </c>
      <c r="X45" t="b">
        <f t="shared" ca="1" si="4"/>
        <v>1</v>
      </c>
    </row>
    <row r="46" spans="7:24" x14ac:dyDescent="0.25">
      <c r="G46" s="6">
        <v>49</v>
      </c>
      <c r="H46" s="2">
        <v>49000000</v>
      </c>
      <c r="I46" s="2">
        <v>28835000</v>
      </c>
      <c r="J46" s="2">
        <f t="shared" si="0"/>
        <v>28835000</v>
      </c>
      <c r="K46" t="b" cm="1">
        <f t="array" ref="K46:Q46">TRANSPOSE(I46&gt;$C$1:$C$7)</f>
        <v>1</v>
      </c>
      <c r="L46" t="b">
        <v>1</v>
      </c>
      <c r="M46" t="b">
        <v>1</v>
      </c>
      <c r="N46" t="b">
        <v>0</v>
      </c>
      <c r="O46" t="b">
        <v>0</v>
      </c>
      <c r="P46" t="b">
        <v>0</v>
      </c>
      <c r="Q46" t="b">
        <v>1</v>
      </c>
      <c r="R46">
        <f t="shared" si="1"/>
        <v>4</v>
      </c>
      <c r="S46" s="2" cm="1">
        <f t="array" aca="1" ref="S46" ca="1">MAX(0,J46*INDEX($B$1:$B$7,COUNTIF(_xlfn.ANCHORARRAY($K$2),TRUE))-INDEX(_xlfn.ANCHORARRAY($D$1),COUNTIF(_xlfn.ANCHORARRAY($K$2),TRUE)))</f>
        <v>4117000</v>
      </c>
      <c r="T46" s="2">
        <v>4165000</v>
      </c>
      <c r="U46" s="2">
        <f t="shared" ca="1" si="2"/>
        <v>8282000</v>
      </c>
      <c r="V46" s="2">
        <v>8330000</v>
      </c>
      <c r="W46" t="b">
        <f t="shared" ca="1" si="3"/>
        <v>1</v>
      </c>
      <c r="X46" t="b">
        <f t="shared" ca="1" si="4"/>
        <v>1</v>
      </c>
    </row>
    <row r="47" spans="7:24" x14ac:dyDescent="0.25">
      <c r="G47">
        <v>50</v>
      </c>
      <c r="H47" s="2">
        <v>50000000</v>
      </c>
      <c r="I47" s="2">
        <v>29750000</v>
      </c>
      <c r="J47" s="2">
        <f t="shared" si="0"/>
        <v>29750000</v>
      </c>
      <c r="K47" t="b" cm="1">
        <f t="array" ref="K47:Q47">TRANSPOSE(I47&gt;$C$1:$C$7)</f>
        <v>1</v>
      </c>
      <c r="L47" t="b">
        <v>1</v>
      </c>
      <c r="M47" t="b">
        <v>1</v>
      </c>
      <c r="N47" t="b">
        <v>0</v>
      </c>
      <c r="O47" t="b">
        <v>0</v>
      </c>
      <c r="P47" t="b">
        <v>0</v>
      </c>
      <c r="Q47" t="b">
        <v>1</v>
      </c>
      <c r="R47">
        <f t="shared" si="1"/>
        <v>4</v>
      </c>
      <c r="S47" s="2" cm="1">
        <f t="array" aca="1" ref="S47" ca="1">MAX(0,J47*INDEX($B$1:$B$7,COUNTIF(_xlfn.ANCHORARRAY($K$2),TRUE))-INDEX(_xlfn.ANCHORARRAY($D$1),COUNTIF(_xlfn.ANCHORARRAY($K$2),TRUE)))</f>
        <v>4300000</v>
      </c>
      <c r="T47" s="2">
        <v>4250000</v>
      </c>
      <c r="U47" s="2">
        <f t="shared" ca="1" si="2"/>
        <v>8550000</v>
      </c>
      <c r="V47" s="2">
        <v>8500000</v>
      </c>
      <c r="W47" t="b">
        <f t="shared" ca="1" si="3"/>
        <v>0</v>
      </c>
      <c r="X47" t="b">
        <f t="shared" ca="1" si="4"/>
        <v>1</v>
      </c>
    </row>
    <row r="48" spans="7:24" x14ac:dyDescent="0.25">
      <c r="G48">
        <v>51</v>
      </c>
      <c r="H48" s="2">
        <v>51000000</v>
      </c>
      <c r="I48" s="2">
        <v>30665000</v>
      </c>
      <c r="J48" s="2">
        <f t="shared" si="0"/>
        <v>30665000</v>
      </c>
      <c r="K48" t="b" cm="1">
        <f t="array" ref="K48:Q48">TRANSPOSE(I48&gt;$C$1:$C$7)</f>
        <v>1</v>
      </c>
      <c r="L48" t="b">
        <v>1</v>
      </c>
      <c r="M48" t="b">
        <v>1</v>
      </c>
      <c r="N48" t="b">
        <v>0</v>
      </c>
      <c r="O48" t="b">
        <v>0</v>
      </c>
      <c r="P48" t="b">
        <v>0</v>
      </c>
      <c r="Q48" t="b">
        <v>1</v>
      </c>
      <c r="R48">
        <f t="shared" si="1"/>
        <v>4</v>
      </c>
      <c r="S48" s="2" cm="1">
        <f t="array" aca="1" ref="S48" ca="1">MAX(0,J48*INDEX($B$1:$B$7,COUNTIF(_xlfn.ANCHORARRAY($K$2),TRUE))-INDEX(_xlfn.ANCHORARRAY($D$1),COUNTIF(_xlfn.ANCHORARRAY($K$2),TRUE)))</f>
        <v>4483000</v>
      </c>
      <c r="T48" s="2">
        <v>4335000</v>
      </c>
      <c r="U48" s="2">
        <f t="shared" ca="1" si="2"/>
        <v>8818000</v>
      </c>
      <c r="V48" s="2">
        <v>8670000</v>
      </c>
      <c r="W48" t="b">
        <f t="shared" ca="1" si="3"/>
        <v>0</v>
      </c>
      <c r="X48" t="b">
        <f t="shared" ca="1" si="4"/>
        <v>1</v>
      </c>
    </row>
    <row r="49" spans="7:24" x14ac:dyDescent="0.25">
      <c r="G49">
        <v>52</v>
      </c>
      <c r="H49" s="2">
        <v>52000000</v>
      </c>
      <c r="I49" s="2">
        <v>31580000</v>
      </c>
      <c r="J49" s="2">
        <f t="shared" si="0"/>
        <v>31580000</v>
      </c>
      <c r="K49" t="b" cm="1">
        <f t="array" ref="K49:Q49">TRANSPOSE(I49&gt;$C$1:$C$7)</f>
        <v>1</v>
      </c>
      <c r="L49" t="b">
        <v>1</v>
      </c>
      <c r="M49" t="b">
        <v>1</v>
      </c>
      <c r="N49" t="b">
        <v>0</v>
      </c>
      <c r="O49" t="b">
        <v>0</v>
      </c>
      <c r="P49" t="b">
        <v>0</v>
      </c>
      <c r="Q49" t="b">
        <v>1</v>
      </c>
      <c r="R49">
        <f t="shared" si="1"/>
        <v>4</v>
      </c>
      <c r="S49" s="2" cm="1">
        <f t="array" aca="1" ref="S49" ca="1">MAX(0,J49*INDEX($B$1:$B$7,COUNTIF(_xlfn.ANCHORARRAY($K$2),TRUE))-INDEX(_xlfn.ANCHORARRAY($D$1),COUNTIF(_xlfn.ANCHORARRAY($K$2),TRUE)))</f>
        <v>4666000</v>
      </c>
      <c r="T49" s="2">
        <v>4420000</v>
      </c>
      <c r="U49" s="2">
        <f t="shared" ca="1" si="2"/>
        <v>9086000</v>
      </c>
      <c r="V49" s="2">
        <v>8840000</v>
      </c>
      <c r="W49" t="b">
        <f t="shared" ca="1" si="3"/>
        <v>0</v>
      </c>
      <c r="X49" t="b">
        <f t="shared" ca="1" si="4"/>
        <v>1</v>
      </c>
    </row>
    <row r="50" spans="7:24" x14ac:dyDescent="0.25">
      <c r="G50">
        <v>53</v>
      </c>
      <c r="H50" s="2">
        <v>53000000</v>
      </c>
      <c r="I50" s="2">
        <v>32494999.999999996</v>
      </c>
      <c r="J50" s="2">
        <f t="shared" si="0"/>
        <v>32494999.999999996</v>
      </c>
      <c r="K50" t="b" cm="1">
        <f t="array" ref="K50:Q50">TRANSPOSE(I50&gt;$C$1:$C$7)</f>
        <v>1</v>
      </c>
      <c r="L50" t="b">
        <v>1</v>
      </c>
      <c r="M50" t="b">
        <v>1</v>
      </c>
      <c r="N50" t="b">
        <v>1</v>
      </c>
      <c r="O50" t="b">
        <v>0</v>
      </c>
      <c r="P50" t="b">
        <v>0</v>
      </c>
      <c r="Q50" t="b">
        <v>1</v>
      </c>
      <c r="R50">
        <f t="shared" si="1"/>
        <v>5</v>
      </c>
      <c r="S50" s="2" cm="1">
        <f t="array" aca="1" ref="S50" ca="1">MAX(0,J50*INDEX($B$1:$B$7,COUNTIF(_xlfn.ANCHORARRAY($K$2),TRUE))-INDEX(_xlfn.ANCHORARRAY($D$1),COUNTIF(_xlfn.ANCHORARRAY($K$2),TRUE)))</f>
        <v>4873749.9999999991</v>
      </c>
      <c r="T50" s="2">
        <v>4505000</v>
      </c>
      <c r="U50" s="2">
        <f t="shared" ca="1" si="2"/>
        <v>9378750</v>
      </c>
      <c r="V50" s="2">
        <v>9010000</v>
      </c>
      <c r="W50" t="b">
        <f t="shared" ca="1" si="3"/>
        <v>0</v>
      </c>
      <c r="X50" t="b">
        <f t="shared" ca="1" si="4"/>
        <v>1</v>
      </c>
    </row>
    <row r="51" spans="7:24" x14ac:dyDescent="0.25">
      <c r="G51">
        <v>54</v>
      </c>
      <c r="H51" s="2">
        <v>54000000</v>
      </c>
      <c r="I51" s="2">
        <v>33409999.999999996</v>
      </c>
      <c r="J51" s="2">
        <f t="shared" si="0"/>
        <v>33409999.999999996</v>
      </c>
      <c r="K51" t="b" cm="1">
        <f t="array" ref="K51:Q51">TRANSPOSE(I51&gt;$C$1:$C$7)</f>
        <v>1</v>
      </c>
      <c r="L51" t="b">
        <v>1</v>
      </c>
      <c r="M51" t="b">
        <v>1</v>
      </c>
      <c r="N51" t="b">
        <v>1</v>
      </c>
      <c r="O51" t="b">
        <v>0</v>
      </c>
      <c r="P51" t="b">
        <v>0</v>
      </c>
      <c r="Q51" t="b">
        <v>1</v>
      </c>
      <c r="R51">
        <f t="shared" si="1"/>
        <v>5</v>
      </c>
      <c r="S51" s="2" cm="1">
        <f t="array" aca="1" ref="S51" ca="1">MAX(0,J51*INDEX($B$1:$B$7,COUNTIF(_xlfn.ANCHORARRAY($K$2),TRUE))-INDEX(_xlfn.ANCHORARRAY($D$1),COUNTIF(_xlfn.ANCHORARRAY($K$2),TRUE)))</f>
        <v>5102499.9999999991</v>
      </c>
      <c r="T51" s="2">
        <v>4590000</v>
      </c>
      <c r="U51" s="2">
        <f t="shared" ca="1" si="2"/>
        <v>9692500</v>
      </c>
      <c r="V51" s="2">
        <v>9180000</v>
      </c>
      <c r="W51" t="b">
        <f t="shared" ca="1" si="3"/>
        <v>0</v>
      </c>
      <c r="X51" t="b">
        <f t="shared" ca="1" si="4"/>
        <v>1</v>
      </c>
    </row>
    <row r="52" spans="7:24" x14ac:dyDescent="0.25">
      <c r="G52">
        <v>55</v>
      </c>
      <c r="H52" s="2">
        <v>55000000</v>
      </c>
      <c r="I52" s="2">
        <v>34325000</v>
      </c>
      <c r="J52" s="2">
        <f t="shared" si="0"/>
        <v>34325000</v>
      </c>
      <c r="K52" t="b" cm="1">
        <f t="array" ref="K52:Q52">TRANSPOSE(I52&gt;$C$1:$C$7)</f>
        <v>1</v>
      </c>
      <c r="L52" t="b">
        <v>1</v>
      </c>
      <c r="M52" t="b">
        <v>1</v>
      </c>
      <c r="N52" t="b">
        <v>1</v>
      </c>
      <c r="O52" t="b">
        <v>0</v>
      </c>
      <c r="P52" t="b">
        <v>0</v>
      </c>
      <c r="Q52" t="b">
        <v>1</v>
      </c>
      <c r="R52">
        <f t="shared" si="1"/>
        <v>5</v>
      </c>
      <c r="S52" s="2" cm="1">
        <f t="array" aca="1" ref="S52" ca="1">MAX(0,J52*INDEX($B$1:$B$7,COUNTIF(_xlfn.ANCHORARRAY($K$2),TRUE))-INDEX(_xlfn.ANCHORARRAY($D$1),COUNTIF(_xlfn.ANCHORARRAY($K$2),TRUE)))</f>
        <v>5331250</v>
      </c>
      <c r="T52" s="2">
        <v>4675000</v>
      </c>
      <c r="U52" s="2">
        <f t="shared" ca="1" si="2"/>
        <v>10006250</v>
      </c>
      <c r="V52" s="2">
        <v>9350000</v>
      </c>
      <c r="W52" t="b">
        <f t="shared" ca="1" si="3"/>
        <v>0</v>
      </c>
      <c r="X52" t="b">
        <f t="shared" ca="1" si="4"/>
        <v>1</v>
      </c>
    </row>
    <row r="53" spans="7:24" x14ac:dyDescent="0.25">
      <c r="G53">
        <v>56</v>
      </c>
      <c r="H53" s="2">
        <v>56000000</v>
      </c>
      <c r="I53" s="2">
        <v>35240000</v>
      </c>
      <c r="J53" s="2">
        <f t="shared" si="0"/>
        <v>35240000</v>
      </c>
      <c r="K53" t="b" cm="1">
        <f t="array" ref="K53:Q53">TRANSPOSE(I53&gt;$C$1:$C$7)</f>
        <v>1</v>
      </c>
      <c r="L53" t="b">
        <v>1</v>
      </c>
      <c r="M53" t="b">
        <v>1</v>
      </c>
      <c r="N53" t="b">
        <v>1</v>
      </c>
      <c r="O53" t="b">
        <v>0</v>
      </c>
      <c r="P53" t="b">
        <v>0</v>
      </c>
      <c r="Q53" t="b">
        <v>1</v>
      </c>
      <c r="R53">
        <f t="shared" si="1"/>
        <v>5</v>
      </c>
      <c r="S53" s="2" cm="1">
        <f t="array" aca="1" ref="S53" ca="1">MAX(0,J53*INDEX($B$1:$B$7,COUNTIF(_xlfn.ANCHORARRAY($K$2),TRUE))-INDEX(_xlfn.ANCHORARRAY($D$1),COUNTIF(_xlfn.ANCHORARRAY($K$2),TRUE)))</f>
        <v>5560000</v>
      </c>
      <c r="T53" s="2">
        <v>4760000</v>
      </c>
      <c r="U53" s="2">
        <f t="shared" ca="1" si="2"/>
        <v>10320000</v>
      </c>
      <c r="V53" s="2">
        <v>9520000</v>
      </c>
      <c r="W53" t="b">
        <f t="shared" ca="1" si="3"/>
        <v>0</v>
      </c>
      <c r="X53" t="b">
        <f t="shared" ca="1" si="4"/>
        <v>1</v>
      </c>
    </row>
    <row r="54" spans="7:24" x14ac:dyDescent="0.25">
      <c r="G54">
        <v>57</v>
      </c>
      <c r="H54" s="2">
        <v>57000000</v>
      </c>
      <c r="I54" s="2">
        <v>36155000</v>
      </c>
      <c r="J54" s="2">
        <f t="shared" si="0"/>
        <v>36155000</v>
      </c>
      <c r="K54" t="b" cm="1">
        <f t="array" ref="K54:Q54">TRANSPOSE(I54&gt;$C$1:$C$7)</f>
        <v>1</v>
      </c>
      <c r="L54" t="b">
        <v>1</v>
      </c>
      <c r="M54" t="b">
        <v>1</v>
      </c>
      <c r="N54" t="b">
        <v>1</v>
      </c>
      <c r="O54" t="b">
        <v>0</v>
      </c>
      <c r="P54" t="b">
        <v>0</v>
      </c>
      <c r="Q54" t="b">
        <v>1</v>
      </c>
      <c r="R54">
        <f t="shared" si="1"/>
        <v>5</v>
      </c>
      <c r="S54" s="2" cm="1">
        <f t="array" aca="1" ref="S54" ca="1">MAX(0,J54*INDEX($B$1:$B$7,COUNTIF(_xlfn.ANCHORARRAY($K$2),TRUE))-INDEX(_xlfn.ANCHORARRAY($D$1),COUNTIF(_xlfn.ANCHORARRAY($K$2),TRUE)))</f>
        <v>5788750</v>
      </c>
      <c r="T54" s="2">
        <v>4845000</v>
      </c>
      <c r="U54" s="2">
        <f t="shared" ca="1" si="2"/>
        <v>10633750</v>
      </c>
      <c r="V54" s="2">
        <v>9690000</v>
      </c>
      <c r="W54" t="b">
        <f t="shared" ca="1" si="3"/>
        <v>0</v>
      </c>
      <c r="X54" t="b">
        <f t="shared" ca="1" si="4"/>
        <v>1</v>
      </c>
    </row>
    <row r="55" spans="7:24" x14ac:dyDescent="0.25">
      <c r="G55">
        <v>58</v>
      </c>
      <c r="H55" s="2">
        <v>58000000</v>
      </c>
      <c r="I55" s="2">
        <v>37070000</v>
      </c>
      <c r="J55" s="2">
        <f t="shared" si="0"/>
        <v>37070000</v>
      </c>
      <c r="K55" t="b" cm="1">
        <f t="array" ref="K55:Q55">TRANSPOSE(I55&gt;$C$1:$C$7)</f>
        <v>1</v>
      </c>
      <c r="L55" t="b">
        <v>1</v>
      </c>
      <c r="M55" t="b">
        <v>1</v>
      </c>
      <c r="N55" t="b">
        <v>1</v>
      </c>
      <c r="O55" t="b">
        <v>0</v>
      </c>
      <c r="P55" t="b">
        <v>0</v>
      </c>
      <c r="Q55" t="b">
        <v>1</v>
      </c>
      <c r="R55">
        <f t="shared" si="1"/>
        <v>5</v>
      </c>
      <c r="S55" s="2" cm="1">
        <f t="array" aca="1" ref="S55" ca="1">MAX(0,J55*INDEX($B$1:$B$7,COUNTIF(_xlfn.ANCHORARRAY($K$2),TRUE))-INDEX(_xlfn.ANCHORARRAY($D$1),COUNTIF(_xlfn.ANCHORARRAY($K$2),TRUE)))</f>
        <v>6017500</v>
      </c>
      <c r="T55" s="2">
        <v>4930000</v>
      </c>
      <c r="U55" s="2">
        <f t="shared" ca="1" si="2"/>
        <v>10947500</v>
      </c>
      <c r="V55" s="2">
        <v>9860000</v>
      </c>
      <c r="W55" t="b">
        <f t="shared" ca="1" si="3"/>
        <v>0</v>
      </c>
      <c r="X55" t="b">
        <f t="shared" ca="1" si="4"/>
        <v>1</v>
      </c>
    </row>
    <row r="56" spans="7:24" x14ac:dyDescent="0.25">
      <c r="G56">
        <v>59</v>
      </c>
      <c r="H56" s="2">
        <v>59000000</v>
      </c>
      <c r="I56" s="2">
        <v>37985000</v>
      </c>
      <c r="J56" s="2">
        <f t="shared" si="0"/>
        <v>37985000</v>
      </c>
      <c r="K56" t="b" cm="1">
        <f t="array" ref="K56:Q56">TRANSPOSE(I56&gt;$C$1:$C$7)</f>
        <v>1</v>
      </c>
      <c r="L56" t="b">
        <v>1</v>
      </c>
      <c r="M56" t="b">
        <v>1</v>
      </c>
      <c r="N56" t="b">
        <v>1</v>
      </c>
      <c r="O56" t="b">
        <v>0</v>
      </c>
      <c r="P56" t="b">
        <v>0</v>
      </c>
      <c r="Q56" t="b">
        <v>1</v>
      </c>
      <c r="R56">
        <f t="shared" si="1"/>
        <v>5</v>
      </c>
      <c r="S56" s="2" cm="1">
        <f t="array" aca="1" ref="S56" ca="1">MAX(0,J56*INDEX($B$1:$B$7,COUNTIF(_xlfn.ANCHORARRAY($K$2),TRUE))-INDEX(_xlfn.ANCHORARRAY($D$1),COUNTIF(_xlfn.ANCHORARRAY($K$2),TRUE)))</f>
        <v>6246250</v>
      </c>
      <c r="T56" s="2">
        <v>5015000</v>
      </c>
      <c r="U56" s="2">
        <f t="shared" ca="1" si="2"/>
        <v>11261250</v>
      </c>
      <c r="V56" s="2">
        <v>10030000</v>
      </c>
      <c r="W56" t="b">
        <f t="shared" ca="1" si="3"/>
        <v>0</v>
      </c>
      <c r="X56" t="b">
        <f t="shared" ca="1" si="4"/>
        <v>1</v>
      </c>
    </row>
    <row r="57" spans="7:24" x14ac:dyDescent="0.25">
      <c r="G57">
        <v>60</v>
      </c>
      <c r="H57" s="2">
        <v>60000000</v>
      </c>
      <c r="I57" s="2">
        <v>38900000</v>
      </c>
      <c r="J57" s="2">
        <f t="shared" si="0"/>
        <v>38900000</v>
      </c>
      <c r="K57" t="b" cm="1">
        <f t="array" ref="K57:Q57">TRANSPOSE(I57&gt;$C$1:$C$7)</f>
        <v>1</v>
      </c>
      <c r="L57" t="b">
        <v>1</v>
      </c>
      <c r="M57" t="b">
        <v>1</v>
      </c>
      <c r="N57" t="b">
        <v>1</v>
      </c>
      <c r="O57" t="b">
        <v>0</v>
      </c>
      <c r="P57" t="b">
        <v>0</v>
      </c>
      <c r="Q57" t="b">
        <v>1</v>
      </c>
      <c r="R57">
        <f t="shared" si="1"/>
        <v>5</v>
      </c>
      <c r="S57" s="2" cm="1">
        <f t="array" aca="1" ref="S57" ca="1">MAX(0,J57*INDEX($B$1:$B$7,COUNTIF(_xlfn.ANCHORARRAY($K$2),TRUE))-INDEX(_xlfn.ANCHORARRAY($D$1),COUNTIF(_xlfn.ANCHORARRAY($K$2),TRUE)))</f>
        <v>6475000</v>
      </c>
      <c r="T57" s="2">
        <v>5100000</v>
      </c>
      <c r="U57" s="2">
        <f t="shared" ca="1" si="2"/>
        <v>11575000</v>
      </c>
      <c r="V57" s="2">
        <v>10200000</v>
      </c>
      <c r="W57" t="b">
        <f t="shared" ca="1" si="3"/>
        <v>0</v>
      </c>
      <c r="X57" t="b">
        <f t="shared" ca="1" si="4"/>
        <v>1</v>
      </c>
    </row>
    <row r="58" spans="7:24" x14ac:dyDescent="0.25">
      <c r="G58">
        <v>61</v>
      </c>
      <c r="H58" s="2">
        <v>61000000</v>
      </c>
      <c r="I58" s="2">
        <v>39815000</v>
      </c>
      <c r="J58" s="2">
        <f t="shared" si="0"/>
        <v>39815000</v>
      </c>
      <c r="K58" t="b" cm="1">
        <f t="array" ref="K58:Q58">TRANSPOSE(I58&gt;$C$1:$C$7)</f>
        <v>1</v>
      </c>
      <c r="L58" t="b">
        <v>1</v>
      </c>
      <c r="M58" t="b">
        <v>1</v>
      </c>
      <c r="N58" t="b">
        <v>1</v>
      </c>
      <c r="O58" t="b">
        <v>0</v>
      </c>
      <c r="P58" t="b">
        <v>0</v>
      </c>
      <c r="Q58" t="b">
        <v>1</v>
      </c>
      <c r="R58">
        <f t="shared" si="1"/>
        <v>5</v>
      </c>
      <c r="S58" s="2" cm="1">
        <f t="array" aca="1" ref="S58" ca="1">MAX(0,J58*INDEX($B$1:$B$7,COUNTIF(_xlfn.ANCHORARRAY($K$2),TRUE))-INDEX(_xlfn.ANCHORARRAY($D$1),COUNTIF(_xlfn.ANCHORARRAY($K$2),TRUE)))</f>
        <v>6703750</v>
      </c>
      <c r="T58" s="2">
        <v>5185000</v>
      </c>
      <c r="U58" s="2">
        <f t="shared" ca="1" si="2"/>
        <v>11888750</v>
      </c>
      <c r="V58" s="2">
        <v>10370000</v>
      </c>
      <c r="W58" t="b">
        <f t="shared" ca="1" si="3"/>
        <v>0</v>
      </c>
      <c r="X58" t="b">
        <f t="shared" ca="1" si="4"/>
        <v>1</v>
      </c>
    </row>
    <row r="59" spans="7:24" x14ac:dyDescent="0.25">
      <c r="G59">
        <v>62</v>
      </c>
      <c r="H59" s="2">
        <v>62000000</v>
      </c>
      <c r="I59" s="2">
        <v>40730000.000000007</v>
      </c>
      <c r="J59" s="2">
        <f t="shared" si="0"/>
        <v>40730000.000000007</v>
      </c>
      <c r="K59" t="b" cm="1">
        <f t="array" ref="K59:Q59">TRANSPOSE(I59&gt;$C$1:$C$7)</f>
        <v>1</v>
      </c>
      <c r="L59" t="b">
        <v>1</v>
      </c>
      <c r="M59" t="b">
        <v>1</v>
      </c>
      <c r="N59" t="b">
        <v>1</v>
      </c>
      <c r="O59" t="b">
        <v>0</v>
      </c>
      <c r="P59" t="b">
        <v>0</v>
      </c>
      <c r="Q59" t="b">
        <v>1</v>
      </c>
      <c r="R59">
        <f t="shared" si="1"/>
        <v>5</v>
      </c>
      <c r="S59" s="2" cm="1">
        <f t="array" aca="1" ref="S59" ca="1">MAX(0,J59*INDEX($B$1:$B$7,COUNTIF(_xlfn.ANCHORARRAY($K$2),TRUE))-INDEX(_xlfn.ANCHORARRAY($D$1),COUNTIF(_xlfn.ANCHORARRAY($K$2),TRUE)))</f>
        <v>6932500.0000000019</v>
      </c>
      <c r="T59" s="2">
        <v>5270000</v>
      </c>
      <c r="U59" s="2">
        <f t="shared" ca="1" si="2"/>
        <v>12202500.000000002</v>
      </c>
      <c r="V59" s="2">
        <v>10540000</v>
      </c>
      <c r="W59" t="b">
        <f t="shared" ca="1" si="3"/>
        <v>0</v>
      </c>
      <c r="X59" t="b">
        <f t="shared" ca="1" si="4"/>
        <v>1</v>
      </c>
    </row>
    <row r="60" spans="7:24" x14ac:dyDescent="0.25">
      <c r="G60">
        <v>63</v>
      </c>
      <c r="H60" s="2">
        <v>63000000</v>
      </c>
      <c r="I60" s="2">
        <v>41644999.999999993</v>
      </c>
      <c r="J60" s="2">
        <f t="shared" si="0"/>
        <v>41644999.999999993</v>
      </c>
      <c r="K60" t="b" cm="1">
        <f t="array" ref="K60:Q60">TRANSPOSE(I60&gt;$C$1:$C$7)</f>
        <v>1</v>
      </c>
      <c r="L60" t="b">
        <v>1</v>
      </c>
      <c r="M60" t="b">
        <v>1</v>
      </c>
      <c r="N60" t="b">
        <v>1</v>
      </c>
      <c r="O60" t="b">
        <v>0</v>
      </c>
      <c r="P60" t="b">
        <v>0</v>
      </c>
      <c r="Q60" t="b">
        <v>1</v>
      </c>
      <c r="R60">
        <f t="shared" si="1"/>
        <v>5</v>
      </c>
      <c r="S60" s="2" cm="1">
        <f t="array" aca="1" ref="S60" ca="1">MAX(0,J60*INDEX($B$1:$B$7,COUNTIF(_xlfn.ANCHORARRAY($K$2),TRUE))-INDEX(_xlfn.ANCHORARRAY($D$1),COUNTIF(_xlfn.ANCHORARRAY($K$2),TRUE)))</f>
        <v>7161249.9999999981</v>
      </c>
      <c r="T60" s="2">
        <v>5355000</v>
      </c>
      <c r="U60" s="2">
        <f t="shared" ca="1" si="2"/>
        <v>12516249.999999998</v>
      </c>
      <c r="V60" s="2">
        <v>10710000</v>
      </c>
      <c r="W60" t="b">
        <f t="shared" ca="1" si="3"/>
        <v>0</v>
      </c>
      <c r="X60" t="b">
        <f t="shared" ca="1" si="4"/>
        <v>1</v>
      </c>
    </row>
    <row r="61" spans="7:24" x14ac:dyDescent="0.25">
      <c r="G61">
        <v>64</v>
      </c>
      <c r="H61" s="2">
        <v>64000000</v>
      </c>
      <c r="I61" s="2">
        <v>42560000</v>
      </c>
      <c r="J61" s="2">
        <f t="shared" si="0"/>
        <v>42560000</v>
      </c>
      <c r="K61" t="b" cm="1">
        <f t="array" ref="K61:Q61">TRANSPOSE(I61&gt;$C$1:$C$7)</f>
        <v>1</v>
      </c>
      <c r="L61" t="b">
        <v>1</v>
      </c>
      <c r="M61" t="b">
        <v>1</v>
      </c>
      <c r="N61" t="b">
        <v>1</v>
      </c>
      <c r="O61" t="b">
        <v>0</v>
      </c>
      <c r="P61" t="b">
        <v>0</v>
      </c>
      <c r="Q61" t="b">
        <v>1</v>
      </c>
      <c r="R61">
        <f t="shared" si="1"/>
        <v>5</v>
      </c>
      <c r="S61" s="2" cm="1">
        <f t="array" aca="1" ref="S61" ca="1">MAX(0,J61*INDEX($B$1:$B$7,COUNTIF(_xlfn.ANCHORARRAY($K$2),TRUE))-INDEX(_xlfn.ANCHORARRAY($D$1),COUNTIF(_xlfn.ANCHORARRAY($K$2),TRUE)))</f>
        <v>7390000</v>
      </c>
      <c r="T61" s="2">
        <v>5440000</v>
      </c>
      <c r="U61" s="2">
        <f t="shared" ca="1" si="2"/>
        <v>12830000</v>
      </c>
      <c r="V61" s="2">
        <v>10880000</v>
      </c>
      <c r="W61" t="b">
        <f t="shared" ca="1" si="3"/>
        <v>0</v>
      </c>
      <c r="X61" t="b">
        <f t="shared" ca="1" si="4"/>
        <v>1</v>
      </c>
    </row>
    <row r="62" spans="7:24" x14ac:dyDescent="0.25">
      <c r="G62">
        <v>65</v>
      </c>
      <c r="H62" s="2">
        <v>65000000</v>
      </c>
      <c r="I62" s="2">
        <v>43475000</v>
      </c>
      <c r="J62" s="2">
        <f t="shared" si="0"/>
        <v>43475000</v>
      </c>
      <c r="K62" t="b" cm="1">
        <f t="array" ref="K62:Q62">TRANSPOSE(I62&gt;$C$1:$C$7)</f>
        <v>1</v>
      </c>
      <c r="L62" t="b">
        <v>1</v>
      </c>
      <c r="M62" t="b">
        <v>1</v>
      </c>
      <c r="N62" t="b">
        <v>1</v>
      </c>
      <c r="O62" t="b">
        <v>0</v>
      </c>
      <c r="P62" t="b">
        <v>0</v>
      </c>
      <c r="Q62" t="b">
        <v>1</v>
      </c>
      <c r="R62">
        <f t="shared" si="1"/>
        <v>5</v>
      </c>
      <c r="S62" s="2" cm="1">
        <f t="array" aca="1" ref="S62" ca="1">MAX(0,J62*INDEX($B$1:$B$7,COUNTIF(_xlfn.ANCHORARRAY($K$2),TRUE))-INDEX(_xlfn.ANCHORARRAY($D$1),COUNTIF(_xlfn.ANCHORARRAY($K$2),TRUE)))</f>
        <v>7618750</v>
      </c>
      <c r="T62" s="2">
        <v>5525000</v>
      </c>
      <c r="U62" s="2">
        <f t="shared" ca="1" si="2"/>
        <v>13143750</v>
      </c>
      <c r="V62" s="2">
        <v>11050000</v>
      </c>
      <c r="W62" t="b">
        <f t="shared" ca="1" si="3"/>
        <v>0</v>
      </c>
      <c r="X62" t="b">
        <f t="shared" ca="1" si="4"/>
        <v>1</v>
      </c>
    </row>
    <row r="63" spans="7:24" x14ac:dyDescent="0.25">
      <c r="G63">
        <v>66</v>
      </c>
      <c r="H63" s="2">
        <v>66000000</v>
      </c>
      <c r="I63" s="2">
        <v>44390000</v>
      </c>
      <c r="J63" s="2">
        <f t="shared" si="0"/>
        <v>44390000</v>
      </c>
      <c r="K63" t="b" cm="1">
        <f t="array" ref="K63:Q63">TRANSPOSE(I63&gt;$C$1:$C$7)</f>
        <v>1</v>
      </c>
      <c r="L63" t="b">
        <v>1</v>
      </c>
      <c r="M63" t="b">
        <v>1</v>
      </c>
      <c r="N63" t="b">
        <v>1</v>
      </c>
      <c r="O63" t="b">
        <v>0</v>
      </c>
      <c r="P63" t="b">
        <v>0</v>
      </c>
      <c r="Q63" t="b">
        <v>1</v>
      </c>
      <c r="R63">
        <f t="shared" si="1"/>
        <v>5</v>
      </c>
      <c r="S63" s="2" cm="1">
        <f t="array" aca="1" ref="S63" ca="1">MAX(0,J63*INDEX($B$1:$B$7,COUNTIF(_xlfn.ANCHORARRAY($K$2),TRUE))-INDEX(_xlfn.ANCHORARRAY($D$1),COUNTIF(_xlfn.ANCHORARRAY($K$2),TRUE)))</f>
        <v>7847500</v>
      </c>
      <c r="T63" s="2">
        <v>5610000</v>
      </c>
      <c r="U63" s="2">
        <f t="shared" ca="1" si="2"/>
        <v>13457500</v>
      </c>
      <c r="V63" s="2">
        <v>11220000</v>
      </c>
      <c r="W63" t="b">
        <f t="shared" ca="1" si="3"/>
        <v>0</v>
      </c>
      <c r="X63" t="b">
        <f t="shared" ca="1" si="4"/>
        <v>1</v>
      </c>
    </row>
    <row r="64" spans="7:24" x14ac:dyDescent="0.25">
      <c r="G64">
        <v>67</v>
      </c>
      <c r="H64" s="2">
        <v>67000000</v>
      </c>
      <c r="I64" s="2">
        <v>45305000</v>
      </c>
      <c r="J64" s="2">
        <f t="shared" si="0"/>
        <v>45305000</v>
      </c>
      <c r="K64" t="b" cm="1">
        <f t="array" ref="K64:Q64">TRANSPOSE(I64&gt;$C$1:$C$7)</f>
        <v>1</v>
      </c>
      <c r="L64" t="b">
        <v>1</v>
      </c>
      <c r="M64" t="b">
        <v>1</v>
      </c>
      <c r="N64" t="b">
        <v>1</v>
      </c>
      <c r="O64" t="b">
        <v>0</v>
      </c>
      <c r="P64" t="b">
        <v>0</v>
      </c>
      <c r="Q64" t="b">
        <v>1</v>
      </c>
      <c r="R64">
        <f t="shared" si="1"/>
        <v>5</v>
      </c>
      <c r="S64" s="2" cm="1">
        <f t="array" aca="1" ref="S64" ca="1">MAX(0,J64*INDEX($B$1:$B$7,COUNTIF(_xlfn.ANCHORARRAY($K$2),TRUE))-INDEX(_xlfn.ANCHORARRAY($D$1),COUNTIF(_xlfn.ANCHORARRAY($K$2),TRUE)))</f>
        <v>8076250</v>
      </c>
      <c r="T64" s="2">
        <v>5695000</v>
      </c>
      <c r="U64" s="2">
        <f t="shared" ca="1" si="2"/>
        <v>13771250</v>
      </c>
      <c r="V64" s="2">
        <v>11390000</v>
      </c>
      <c r="W64" t="b">
        <f t="shared" ca="1" si="3"/>
        <v>0</v>
      </c>
      <c r="X64" t="b">
        <f t="shared" ca="1" si="4"/>
        <v>1</v>
      </c>
    </row>
    <row r="65" spans="7:24" x14ac:dyDescent="0.25">
      <c r="G65">
        <v>68</v>
      </c>
      <c r="H65" s="2">
        <v>68000000</v>
      </c>
      <c r="I65" s="2">
        <v>46220000</v>
      </c>
      <c r="J65" s="2">
        <f t="shared" si="0"/>
        <v>46220000</v>
      </c>
      <c r="K65" t="b" cm="1">
        <f t="array" ref="K65:Q65">TRANSPOSE(I65&gt;$C$1:$C$7)</f>
        <v>1</v>
      </c>
      <c r="L65" t="b">
        <v>1</v>
      </c>
      <c r="M65" t="b">
        <v>1</v>
      </c>
      <c r="N65" t="b">
        <v>1</v>
      </c>
      <c r="O65" t="b">
        <v>0</v>
      </c>
      <c r="P65" t="b">
        <v>0</v>
      </c>
      <c r="Q65" t="b">
        <v>1</v>
      </c>
      <c r="R65">
        <f t="shared" si="1"/>
        <v>5</v>
      </c>
      <c r="S65" s="2" cm="1">
        <f t="array" aca="1" ref="S65" ca="1">MAX(0,J65*INDEX($B$1:$B$7,COUNTIF(_xlfn.ANCHORARRAY($K$2),TRUE))-INDEX(_xlfn.ANCHORARRAY($D$1),COUNTIF(_xlfn.ANCHORARRAY($K$2),TRUE)))</f>
        <v>8305000</v>
      </c>
      <c r="T65" s="2">
        <v>5780000</v>
      </c>
      <c r="U65" s="2">
        <f t="shared" ca="1" si="2"/>
        <v>14085000</v>
      </c>
      <c r="V65" s="2">
        <v>11560000</v>
      </c>
      <c r="W65" t="b">
        <f t="shared" ca="1" si="3"/>
        <v>0</v>
      </c>
      <c r="X65" t="b">
        <f t="shared" ca="1" si="4"/>
        <v>1</v>
      </c>
    </row>
    <row r="66" spans="7:24" x14ac:dyDescent="0.25">
      <c r="G66">
        <v>69</v>
      </c>
      <c r="H66" s="2">
        <v>69000000</v>
      </c>
      <c r="I66" s="2">
        <v>47135000</v>
      </c>
      <c r="J66" s="2">
        <f t="shared" si="0"/>
        <v>47135000</v>
      </c>
      <c r="K66" t="b" cm="1">
        <f t="array" ref="K66:Q66">TRANSPOSE(I66&gt;$C$1:$C$7)</f>
        <v>1</v>
      </c>
      <c r="L66" t="b">
        <v>1</v>
      </c>
      <c r="M66" t="b">
        <v>1</v>
      </c>
      <c r="N66" t="b">
        <v>1</v>
      </c>
      <c r="O66" t="b">
        <v>0</v>
      </c>
      <c r="P66" t="b">
        <v>0</v>
      </c>
      <c r="Q66" t="b">
        <v>1</v>
      </c>
      <c r="R66">
        <f t="shared" si="1"/>
        <v>5</v>
      </c>
      <c r="S66" s="2" cm="1">
        <f t="array" aca="1" ref="S66" ca="1">MAX(0,J66*INDEX($B$1:$B$7,COUNTIF(_xlfn.ANCHORARRAY($K$2),TRUE))-INDEX(_xlfn.ANCHORARRAY($D$1),COUNTIF(_xlfn.ANCHORARRAY($K$2),TRUE)))</f>
        <v>8533750</v>
      </c>
      <c r="T66" s="2">
        <v>5865000</v>
      </c>
      <c r="U66" s="2">
        <f t="shared" ca="1" si="2"/>
        <v>14398750</v>
      </c>
      <c r="V66" s="2">
        <v>11730000</v>
      </c>
      <c r="W66" t="b">
        <f t="shared" ca="1" si="3"/>
        <v>0</v>
      </c>
      <c r="X66" t="b">
        <f t="shared" ca="1" si="4"/>
        <v>1</v>
      </c>
    </row>
    <row r="67" spans="7:24" x14ac:dyDescent="0.25">
      <c r="G67">
        <v>70</v>
      </c>
      <c r="H67" s="2">
        <v>70000000</v>
      </c>
      <c r="I67" s="2">
        <v>48050000</v>
      </c>
      <c r="J67" s="2">
        <f t="shared" ref="J67:J130" si="5">MAX(0,I67)</f>
        <v>48050000</v>
      </c>
      <c r="K67" t="b" cm="1">
        <f t="array" ref="K67:Q67">TRANSPOSE(I67&gt;$C$1:$C$7)</f>
        <v>1</v>
      </c>
      <c r="L67" t="b">
        <v>1</v>
      </c>
      <c r="M67" t="b">
        <v>1</v>
      </c>
      <c r="N67" t="b">
        <v>1</v>
      </c>
      <c r="O67" t="b">
        <v>0</v>
      </c>
      <c r="P67" t="b">
        <v>0</v>
      </c>
      <c r="Q67" t="b">
        <v>1</v>
      </c>
      <c r="R67">
        <f t="shared" ref="R67:R130" si="6">COUNTIF(_xlfn.ANCHORARRAY(K67),TRUE)</f>
        <v>5</v>
      </c>
      <c r="S67" s="2" cm="1">
        <f t="array" aca="1" ref="S67" ca="1">MAX(0,J67*INDEX($B$1:$B$7,COUNTIF(_xlfn.ANCHORARRAY($K$2),TRUE))-INDEX(_xlfn.ANCHORARRAY($D$1),COUNTIF(_xlfn.ANCHORARRAY($K$2),TRUE)))</f>
        <v>8762500</v>
      </c>
      <c r="T67" s="2">
        <v>5950000</v>
      </c>
      <c r="U67" s="2">
        <f t="shared" ref="U67:U130" ca="1" si="7">SUM(S67:T67)</f>
        <v>14712500</v>
      </c>
      <c r="V67" s="2">
        <v>11900000</v>
      </c>
      <c r="W67" t="b">
        <f t="shared" ref="W67:W130" ca="1" si="8">U67&lt;V67</f>
        <v>0</v>
      </c>
      <c r="X67" t="b">
        <f t="shared" ref="X67:X130" ca="1" si="9">S67&lt;V67</f>
        <v>1</v>
      </c>
    </row>
    <row r="68" spans="7:24" x14ac:dyDescent="0.25">
      <c r="G68">
        <v>71</v>
      </c>
      <c r="H68" s="2">
        <v>71000000</v>
      </c>
      <c r="I68" s="2">
        <v>48965000</v>
      </c>
      <c r="J68" s="2">
        <f t="shared" si="5"/>
        <v>48965000</v>
      </c>
      <c r="K68" t="b" cm="1">
        <f t="array" ref="K68:Q68">TRANSPOSE(I68&gt;$C$1:$C$7)</f>
        <v>1</v>
      </c>
      <c r="L68" t="b">
        <v>1</v>
      </c>
      <c r="M68" t="b">
        <v>1</v>
      </c>
      <c r="N68" t="b">
        <v>1</v>
      </c>
      <c r="O68" t="b">
        <v>0</v>
      </c>
      <c r="P68" t="b">
        <v>0</v>
      </c>
      <c r="Q68" t="b">
        <v>1</v>
      </c>
      <c r="R68">
        <f t="shared" si="6"/>
        <v>5</v>
      </c>
      <c r="S68" s="2" cm="1">
        <f t="array" aca="1" ref="S68" ca="1">MAX(0,J68*INDEX($B$1:$B$7,COUNTIF(_xlfn.ANCHORARRAY($K$2),TRUE))-INDEX(_xlfn.ANCHORARRAY($D$1),COUNTIF(_xlfn.ANCHORARRAY($K$2),TRUE)))</f>
        <v>8991250</v>
      </c>
      <c r="T68" s="2">
        <v>6035000</v>
      </c>
      <c r="U68" s="2">
        <f t="shared" ca="1" si="7"/>
        <v>15026250</v>
      </c>
      <c r="V68" s="2">
        <v>12070000</v>
      </c>
      <c r="W68" t="b">
        <f t="shared" ca="1" si="8"/>
        <v>0</v>
      </c>
      <c r="X68" t="b">
        <f t="shared" ca="1" si="9"/>
        <v>1</v>
      </c>
    </row>
    <row r="69" spans="7:24" x14ac:dyDescent="0.25">
      <c r="G69">
        <v>72</v>
      </c>
      <c r="H69" s="2">
        <v>72000000</v>
      </c>
      <c r="I69" s="2">
        <v>49880000</v>
      </c>
      <c r="J69" s="2">
        <f t="shared" si="5"/>
        <v>49880000</v>
      </c>
      <c r="K69" t="b" cm="1">
        <f t="array" ref="K69:Q69">TRANSPOSE(I69&gt;$C$1:$C$7)</f>
        <v>1</v>
      </c>
      <c r="L69" t="b">
        <v>1</v>
      </c>
      <c r="M69" t="b">
        <v>1</v>
      </c>
      <c r="N69" t="b">
        <v>1</v>
      </c>
      <c r="O69" t="b">
        <v>0</v>
      </c>
      <c r="P69" t="b">
        <v>0</v>
      </c>
      <c r="Q69" t="b">
        <v>1</v>
      </c>
      <c r="R69">
        <f t="shared" si="6"/>
        <v>5</v>
      </c>
      <c r="S69" s="2" cm="1">
        <f t="array" aca="1" ref="S69" ca="1">MAX(0,J69*INDEX($B$1:$B$7,COUNTIF(_xlfn.ANCHORARRAY($K$2),TRUE))-INDEX(_xlfn.ANCHORARRAY($D$1),COUNTIF(_xlfn.ANCHORARRAY($K$2),TRUE)))</f>
        <v>9220000</v>
      </c>
      <c r="T69" s="2">
        <v>6120000</v>
      </c>
      <c r="U69" s="2">
        <f t="shared" ca="1" si="7"/>
        <v>15340000</v>
      </c>
      <c r="V69" s="2">
        <v>12240000</v>
      </c>
      <c r="W69" t="b">
        <f t="shared" ca="1" si="8"/>
        <v>0</v>
      </c>
      <c r="X69" t="b">
        <f t="shared" ca="1" si="9"/>
        <v>1</v>
      </c>
    </row>
    <row r="70" spans="7:24" x14ac:dyDescent="0.25">
      <c r="G70">
        <v>73</v>
      </c>
      <c r="H70" s="2">
        <v>73000000</v>
      </c>
      <c r="I70" s="2">
        <v>50795000</v>
      </c>
      <c r="J70" s="2">
        <f t="shared" si="5"/>
        <v>50795000</v>
      </c>
      <c r="K70" t="b" cm="1">
        <f t="array" ref="K70:Q70">TRANSPOSE(I70&gt;$C$1:$C$7)</f>
        <v>1</v>
      </c>
      <c r="L70" t="b">
        <v>1</v>
      </c>
      <c r="M70" t="b">
        <v>1</v>
      </c>
      <c r="N70" t="b">
        <v>1</v>
      </c>
      <c r="O70" t="b">
        <v>0</v>
      </c>
      <c r="P70" t="b">
        <v>0</v>
      </c>
      <c r="Q70" t="b">
        <v>1</v>
      </c>
      <c r="R70">
        <f t="shared" si="6"/>
        <v>5</v>
      </c>
      <c r="S70" s="2" cm="1">
        <f t="array" aca="1" ref="S70" ca="1">MAX(0,J70*INDEX($B$1:$B$7,COUNTIF(_xlfn.ANCHORARRAY($K$2),TRUE))-INDEX(_xlfn.ANCHORARRAY($D$1),COUNTIF(_xlfn.ANCHORARRAY($K$2),TRUE)))</f>
        <v>9448750</v>
      </c>
      <c r="T70" s="2">
        <v>6205000</v>
      </c>
      <c r="U70" s="2">
        <f t="shared" ca="1" si="7"/>
        <v>15653750</v>
      </c>
      <c r="V70" s="2">
        <v>12410000</v>
      </c>
      <c r="W70" t="b">
        <f t="shared" ca="1" si="8"/>
        <v>0</v>
      </c>
      <c r="X70" t="b">
        <f t="shared" ca="1" si="9"/>
        <v>1</v>
      </c>
    </row>
    <row r="71" spans="7:24" x14ac:dyDescent="0.25">
      <c r="G71">
        <v>74</v>
      </c>
      <c r="H71" s="2">
        <v>74000000</v>
      </c>
      <c r="I71" s="2">
        <v>51710000</v>
      </c>
      <c r="J71" s="2">
        <f t="shared" si="5"/>
        <v>51710000</v>
      </c>
      <c r="K71" t="b" cm="1">
        <f t="array" ref="K71:Q71">TRANSPOSE(I71&gt;$C$1:$C$7)</f>
        <v>1</v>
      </c>
      <c r="L71" t="b">
        <v>1</v>
      </c>
      <c r="M71" t="b">
        <v>1</v>
      </c>
      <c r="N71" t="b">
        <v>1</v>
      </c>
      <c r="O71" t="b">
        <v>0</v>
      </c>
      <c r="P71" t="b">
        <v>0</v>
      </c>
      <c r="Q71" t="b">
        <v>1</v>
      </c>
      <c r="R71">
        <f t="shared" si="6"/>
        <v>5</v>
      </c>
      <c r="S71" s="2" cm="1">
        <f t="array" aca="1" ref="S71" ca="1">MAX(0,J71*INDEX($B$1:$B$7,COUNTIF(_xlfn.ANCHORARRAY($K$2),TRUE))-INDEX(_xlfn.ANCHORARRAY($D$1),COUNTIF(_xlfn.ANCHORARRAY($K$2),TRUE)))</f>
        <v>9677500</v>
      </c>
      <c r="T71" s="2">
        <v>6290000</v>
      </c>
      <c r="U71" s="2">
        <f t="shared" ca="1" si="7"/>
        <v>15967500</v>
      </c>
      <c r="V71" s="2">
        <v>12580000</v>
      </c>
      <c r="W71" t="b">
        <f t="shared" ca="1" si="8"/>
        <v>0</v>
      </c>
      <c r="X71" t="b">
        <f t="shared" ca="1" si="9"/>
        <v>1</v>
      </c>
    </row>
    <row r="72" spans="7:24" x14ac:dyDescent="0.25">
      <c r="G72">
        <v>75</v>
      </c>
      <c r="H72" s="2">
        <v>75000000</v>
      </c>
      <c r="I72" s="2">
        <v>52625000</v>
      </c>
      <c r="J72" s="2">
        <f t="shared" si="5"/>
        <v>52625000</v>
      </c>
      <c r="K72" t="b" cm="1">
        <f t="array" ref="K72:Q72">TRANSPOSE(I72&gt;$C$1:$C$7)</f>
        <v>1</v>
      </c>
      <c r="L72" t="b">
        <v>1</v>
      </c>
      <c r="M72" t="b">
        <v>1</v>
      </c>
      <c r="N72" t="b">
        <v>1</v>
      </c>
      <c r="O72" t="b">
        <v>1</v>
      </c>
      <c r="P72" t="b">
        <v>0</v>
      </c>
      <c r="Q72" t="b">
        <v>1</v>
      </c>
      <c r="R72">
        <f t="shared" si="6"/>
        <v>6</v>
      </c>
      <c r="S72" s="2" cm="1">
        <f t="array" aca="1" ref="S72" ca="1">MAX(0,J72*INDEX($B$1:$B$7,COUNTIF(_xlfn.ANCHORARRAY($K$2),TRUE))-INDEX(_xlfn.ANCHORARRAY($D$1),COUNTIF(_xlfn.ANCHORARRAY($K$2),TRUE)))</f>
        <v>9937500</v>
      </c>
      <c r="T72" s="2">
        <v>6375000</v>
      </c>
      <c r="U72" s="2">
        <f t="shared" ca="1" si="7"/>
        <v>16312500</v>
      </c>
      <c r="V72" s="2">
        <v>12750000</v>
      </c>
      <c r="W72" t="b">
        <f t="shared" ca="1" si="8"/>
        <v>0</v>
      </c>
      <c r="X72" t="b">
        <f t="shared" ca="1" si="9"/>
        <v>1</v>
      </c>
    </row>
    <row r="73" spans="7:24" x14ac:dyDescent="0.25">
      <c r="G73">
        <v>76</v>
      </c>
      <c r="H73" s="2">
        <v>76000000</v>
      </c>
      <c r="I73" s="2">
        <v>53540000</v>
      </c>
      <c r="J73" s="2">
        <f t="shared" si="5"/>
        <v>53540000</v>
      </c>
      <c r="K73" t="b" cm="1">
        <f t="array" ref="K73:Q73">TRANSPOSE(I73&gt;$C$1:$C$7)</f>
        <v>1</v>
      </c>
      <c r="L73" t="b">
        <v>1</v>
      </c>
      <c r="M73" t="b">
        <v>1</v>
      </c>
      <c r="N73" t="b">
        <v>1</v>
      </c>
      <c r="O73" t="b">
        <v>1</v>
      </c>
      <c r="P73" t="b">
        <v>0</v>
      </c>
      <c r="Q73" t="b">
        <v>1</v>
      </c>
      <c r="R73">
        <f t="shared" si="6"/>
        <v>6</v>
      </c>
      <c r="S73" s="2" cm="1">
        <f t="array" aca="1" ref="S73" ca="1">MAX(0,J73*INDEX($B$1:$B$7,COUNTIF(_xlfn.ANCHORARRAY($K$2),TRUE))-INDEX(_xlfn.ANCHORARRAY($D$1),COUNTIF(_xlfn.ANCHORARRAY($K$2),TRUE)))</f>
        <v>10212000</v>
      </c>
      <c r="T73" s="2">
        <v>6460000</v>
      </c>
      <c r="U73" s="2">
        <f t="shared" ca="1" si="7"/>
        <v>16672000</v>
      </c>
      <c r="V73" s="2">
        <v>12920000</v>
      </c>
      <c r="W73" t="b">
        <f t="shared" ca="1" si="8"/>
        <v>0</v>
      </c>
      <c r="X73" t="b">
        <f t="shared" ca="1" si="9"/>
        <v>1</v>
      </c>
    </row>
    <row r="74" spans="7:24" x14ac:dyDescent="0.25">
      <c r="G74">
        <v>77</v>
      </c>
      <c r="H74" s="2">
        <v>77000000</v>
      </c>
      <c r="I74" s="2">
        <v>54455000</v>
      </c>
      <c r="J74" s="2">
        <f t="shared" si="5"/>
        <v>54455000</v>
      </c>
      <c r="K74" t="b" cm="1">
        <f t="array" ref="K74:Q74">TRANSPOSE(I74&gt;$C$1:$C$7)</f>
        <v>1</v>
      </c>
      <c r="L74" t="b">
        <v>1</v>
      </c>
      <c r="M74" t="b">
        <v>1</v>
      </c>
      <c r="N74" t="b">
        <v>1</v>
      </c>
      <c r="O74" t="b">
        <v>1</v>
      </c>
      <c r="P74" t="b">
        <v>0</v>
      </c>
      <c r="Q74" t="b">
        <v>1</v>
      </c>
      <c r="R74">
        <f t="shared" si="6"/>
        <v>6</v>
      </c>
      <c r="S74" s="2" cm="1">
        <f t="array" aca="1" ref="S74" ca="1">MAX(0,J74*INDEX($B$1:$B$7,COUNTIF(_xlfn.ANCHORARRAY($K$2),TRUE))-INDEX(_xlfn.ANCHORARRAY($D$1),COUNTIF(_xlfn.ANCHORARRAY($K$2),TRUE)))</f>
        <v>10486500</v>
      </c>
      <c r="T74" s="2">
        <v>6545000</v>
      </c>
      <c r="U74" s="2">
        <f t="shared" ca="1" si="7"/>
        <v>17031500</v>
      </c>
      <c r="V74" s="2">
        <v>13090000</v>
      </c>
      <c r="W74" t="b">
        <f t="shared" ca="1" si="8"/>
        <v>0</v>
      </c>
      <c r="X74" t="b">
        <f t="shared" ca="1" si="9"/>
        <v>1</v>
      </c>
    </row>
    <row r="75" spans="7:24" x14ac:dyDescent="0.25">
      <c r="G75">
        <v>78</v>
      </c>
      <c r="H75" s="2">
        <v>78000000</v>
      </c>
      <c r="I75" s="2">
        <v>55370000</v>
      </c>
      <c r="J75" s="2">
        <f t="shared" si="5"/>
        <v>55370000</v>
      </c>
      <c r="K75" t="b" cm="1">
        <f t="array" ref="K75:Q75">TRANSPOSE(I75&gt;$C$1:$C$7)</f>
        <v>1</v>
      </c>
      <c r="L75" t="b">
        <v>1</v>
      </c>
      <c r="M75" t="b">
        <v>1</v>
      </c>
      <c r="N75" t="b">
        <v>1</v>
      </c>
      <c r="O75" t="b">
        <v>1</v>
      </c>
      <c r="P75" t="b">
        <v>0</v>
      </c>
      <c r="Q75" t="b">
        <v>1</v>
      </c>
      <c r="R75">
        <f t="shared" si="6"/>
        <v>6</v>
      </c>
      <c r="S75" s="2" cm="1">
        <f t="array" aca="1" ref="S75" ca="1">MAX(0,J75*INDEX($B$1:$B$7,COUNTIF(_xlfn.ANCHORARRAY($K$2),TRUE))-INDEX(_xlfn.ANCHORARRAY($D$1),COUNTIF(_xlfn.ANCHORARRAY($K$2),TRUE)))</f>
        <v>10761000</v>
      </c>
      <c r="T75" s="2">
        <v>6630000</v>
      </c>
      <c r="U75" s="2">
        <f t="shared" ca="1" si="7"/>
        <v>17391000</v>
      </c>
      <c r="V75" s="2">
        <v>13260000</v>
      </c>
      <c r="W75" t="b">
        <f t="shared" ca="1" si="8"/>
        <v>0</v>
      </c>
      <c r="X75" t="b">
        <f t="shared" ca="1" si="9"/>
        <v>1</v>
      </c>
    </row>
    <row r="76" spans="7:24" x14ac:dyDescent="0.25">
      <c r="G76">
        <v>79</v>
      </c>
      <c r="H76" s="2">
        <v>79000000</v>
      </c>
      <c r="I76" s="2">
        <v>56285000</v>
      </c>
      <c r="J76" s="2">
        <f t="shared" si="5"/>
        <v>56285000</v>
      </c>
      <c r="K76" t="b" cm="1">
        <f t="array" ref="K76:Q76">TRANSPOSE(I76&gt;$C$1:$C$7)</f>
        <v>1</v>
      </c>
      <c r="L76" t="b">
        <v>1</v>
      </c>
      <c r="M76" t="b">
        <v>1</v>
      </c>
      <c r="N76" t="b">
        <v>1</v>
      </c>
      <c r="O76" t="b">
        <v>1</v>
      </c>
      <c r="P76" t="b">
        <v>0</v>
      </c>
      <c r="Q76" t="b">
        <v>1</v>
      </c>
      <c r="R76">
        <f t="shared" si="6"/>
        <v>6</v>
      </c>
      <c r="S76" s="2" cm="1">
        <f t="array" aca="1" ref="S76" ca="1">MAX(0,J76*INDEX($B$1:$B$7,COUNTIF(_xlfn.ANCHORARRAY($K$2),TRUE))-INDEX(_xlfn.ANCHORARRAY($D$1),COUNTIF(_xlfn.ANCHORARRAY($K$2),TRUE)))</f>
        <v>11035500</v>
      </c>
      <c r="T76" s="2">
        <v>6715000</v>
      </c>
      <c r="U76" s="2">
        <f t="shared" ca="1" si="7"/>
        <v>17750500</v>
      </c>
      <c r="V76" s="2">
        <v>13430000</v>
      </c>
      <c r="W76" t="b">
        <f t="shared" ca="1" si="8"/>
        <v>0</v>
      </c>
      <c r="X76" t="b">
        <f t="shared" ca="1" si="9"/>
        <v>1</v>
      </c>
    </row>
    <row r="77" spans="7:24" x14ac:dyDescent="0.25">
      <c r="G77">
        <v>80</v>
      </c>
      <c r="H77" s="2">
        <v>80000000</v>
      </c>
      <c r="I77" s="2">
        <v>57200000</v>
      </c>
      <c r="J77" s="2">
        <f t="shared" si="5"/>
        <v>57200000</v>
      </c>
      <c r="K77" t="b" cm="1">
        <f t="array" ref="K77:Q77">TRANSPOSE(I77&gt;$C$1:$C$7)</f>
        <v>1</v>
      </c>
      <c r="L77" t="b">
        <v>1</v>
      </c>
      <c r="M77" t="b">
        <v>1</v>
      </c>
      <c r="N77" t="b">
        <v>1</v>
      </c>
      <c r="O77" t="b">
        <v>1</v>
      </c>
      <c r="P77" t="b">
        <v>0</v>
      </c>
      <c r="Q77" t="b">
        <v>1</v>
      </c>
      <c r="R77">
        <f t="shared" si="6"/>
        <v>6</v>
      </c>
      <c r="S77" s="2" cm="1">
        <f t="array" aca="1" ref="S77" ca="1">MAX(0,J77*INDEX($B$1:$B$7,COUNTIF(_xlfn.ANCHORARRAY($K$2),TRUE))-INDEX(_xlfn.ANCHORARRAY($D$1),COUNTIF(_xlfn.ANCHORARRAY($K$2),TRUE)))</f>
        <v>11310000</v>
      </c>
      <c r="T77" s="2">
        <v>6800000</v>
      </c>
      <c r="U77" s="2">
        <f t="shared" ca="1" si="7"/>
        <v>18110000</v>
      </c>
      <c r="V77" s="2">
        <v>13600000</v>
      </c>
      <c r="W77" t="b">
        <f t="shared" ca="1" si="8"/>
        <v>0</v>
      </c>
      <c r="X77" t="b">
        <f t="shared" ca="1" si="9"/>
        <v>1</v>
      </c>
    </row>
    <row r="78" spans="7:24" x14ac:dyDescent="0.25">
      <c r="G78">
        <v>81</v>
      </c>
      <c r="H78" s="2">
        <v>81000000</v>
      </c>
      <c r="I78" s="2">
        <v>58115000</v>
      </c>
      <c r="J78" s="2">
        <f t="shared" si="5"/>
        <v>58115000</v>
      </c>
      <c r="K78" t="b" cm="1">
        <f t="array" ref="K78:Q78">TRANSPOSE(I78&gt;$C$1:$C$7)</f>
        <v>1</v>
      </c>
      <c r="L78" t="b">
        <v>1</v>
      </c>
      <c r="M78" t="b">
        <v>1</v>
      </c>
      <c r="N78" t="b">
        <v>1</v>
      </c>
      <c r="O78" t="b">
        <v>1</v>
      </c>
      <c r="P78" t="b">
        <v>0</v>
      </c>
      <c r="Q78" t="b">
        <v>1</v>
      </c>
      <c r="R78">
        <f t="shared" si="6"/>
        <v>6</v>
      </c>
      <c r="S78" s="2" cm="1">
        <f t="array" aca="1" ref="S78" ca="1">MAX(0,J78*INDEX($B$1:$B$7,COUNTIF(_xlfn.ANCHORARRAY($K$2),TRUE))-INDEX(_xlfn.ANCHORARRAY($D$1),COUNTIF(_xlfn.ANCHORARRAY($K$2),TRUE)))</f>
        <v>11584500</v>
      </c>
      <c r="T78" s="2">
        <v>6885000</v>
      </c>
      <c r="U78" s="2">
        <f t="shared" ca="1" si="7"/>
        <v>18469500</v>
      </c>
      <c r="V78" s="2">
        <v>13770000</v>
      </c>
      <c r="W78" t="b">
        <f t="shared" ca="1" si="8"/>
        <v>0</v>
      </c>
      <c r="X78" t="b">
        <f t="shared" ca="1" si="9"/>
        <v>1</v>
      </c>
    </row>
    <row r="79" spans="7:24" x14ac:dyDescent="0.25">
      <c r="G79">
        <v>82</v>
      </c>
      <c r="H79" s="2">
        <v>82000000</v>
      </c>
      <c r="I79" s="2">
        <v>59030000</v>
      </c>
      <c r="J79" s="2">
        <f t="shared" si="5"/>
        <v>59030000</v>
      </c>
      <c r="K79" t="b" cm="1">
        <f t="array" ref="K79:Q79">TRANSPOSE(I79&gt;$C$1:$C$7)</f>
        <v>1</v>
      </c>
      <c r="L79" t="b">
        <v>1</v>
      </c>
      <c r="M79" t="b">
        <v>1</v>
      </c>
      <c r="N79" t="b">
        <v>1</v>
      </c>
      <c r="O79" t="b">
        <v>1</v>
      </c>
      <c r="P79" t="b">
        <v>0</v>
      </c>
      <c r="Q79" t="b">
        <v>1</v>
      </c>
      <c r="R79">
        <f t="shared" si="6"/>
        <v>6</v>
      </c>
      <c r="S79" s="2" cm="1">
        <f t="array" aca="1" ref="S79" ca="1">MAX(0,J79*INDEX($B$1:$B$7,COUNTIF(_xlfn.ANCHORARRAY($K$2),TRUE))-INDEX(_xlfn.ANCHORARRAY($D$1),COUNTIF(_xlfn.ANCHORARRAY($K$2),TRUE)))</f>
        <v>11859000</v>
      </c>
      <c r="T79" s="2">
        <v>6970000</v>
      </c>
      <c r="U79" s="2">
        <f t="shared" ca="1" si="7"/>
        <v>18829000</v>
      </c>
      <c r="V79" s="2">
        <v>13940000</v>
      </c>
      <c r="W79" t="b">
        <f t="shared" ca="1" si="8"/>
        <v>0</v>
      </c>
      <c r="X79" t="b">
        <f t="shared" ca="1" si="9"/>
        <v>1</v>
      </c>
    </row>
    <row r="80" spans="7:24" x14ac:dyDescent="0.25">
      <c r="G80">
        <v>83</v>
      </c>
      <c r="H80" s="2">
        <v>83000000</v>
      </c>
      <c r="I80" s="2">
        <v>59945000</v>
      </c>
      <c r="J80" s="2">
        <f t="shared" si="5"/>
        <v>59945000</v>
      </c>
      <c r="K80" t="b" cm="1">
        <f t="array" ref="K80:Q80">TRANSPOSE(I80&gt;$C$1:$C$7)</f>
        <v>1</v>
      </c>
      <c r="L80" t="b">
        <v>1</v>
      </c>
      <c r="M80" t="b">
        <v>1</v>
      </c>
      <c r="N80" t="b">
        <v>1</v>
      </c>
      <c r="O80" t="b">
        <v>1</v>
      </c>
      <c r="P80" t="b">
        <v>0</v>
      </c>
      <c r="Q80" t="b">
        <v>1</v>
      </c>
      <c r="R80">
        <f t="shared" si="6"/>
        <v>6</v>
      </c>
      <c r="S80" s="2" cm="1">
        <f t="array" aca="1" ref="S80" ca="1">MAX(0,J80*INDEX($B$1:$B$7,COUNTIF(_xlfn.ANCHORARRAY($K$2),TRUE))-INDEX(_xlfn.ANCHORARRAY($D$1),COUNTIF(_xlfn.ANCHORARRAY($K$2),TRUE)))</f>
        <v>12133500</v>
      </c>
      <c r="T80" s="2">
        <v>7055000</v>
      </c>
      <c r="U80" s="2">
        <f t="shared" ca="1" si="7"/>
        <v>19188500</v>
      </c>
      <c r="V80" s="2">
        <v>14110000</v>
      </c>
      <c r="W80" t="b">
        <f t="shared" ca="1" si="8"/>
        <v>0</v>
      </c>
      <c r="X80" t="b">
        <f t="shared" ca="1" si="9"/>
        <v>1</v>
      </c>
    </row>
    <row r="81" spans="7:24" x14ac:dyDescent="0.25">
      <c r="G81">
        <v>84</v>
      </c>
      <c r="H81" s="2">
        <v>84000000</v>
      </c>
      <c r="I81" s="2">
        <v>60860000</v>
      </c>
      <c r="J81" s="2">
        <f t="shared" si="5"/>
        <v>60860000</v>
      </c>
      <c r="K81" t="b" cm="1">
        <f t="array" ref="K81:Q81">TRANSPOSE(I81&gt;$C$1:$C$7)</f>
        <v>1</v>
      </c>
      <c r="L81" t="b">
        <v>1</v>
      </c>
      <c r="M81" t="b">
        <v>1</v>
      </c>
      <c r="N81" t="b">
        <v>1</v>
      </c>
      <c r="O81" t="b">
        <v>1</v>
      </c>
      <c r="P81" t="b">
        <v>0</v>
      </c>
      <c r="Q81" t="b">
        <v>1</v>
      </c>
      <c r="R81">
        <f t="shared" si="6"/>
        <v>6</v>
      </c>
      <c r="S81" s="2" cm="1">
        <f t="array" aca="1" ref="S81" ca="1">MAX(0,J81*INDEX($B$1:$B$7,COUNTIF(_xlfn.ANCHORARRAY($K$2),TRUE))-INDEX(_xlfn.ANCHORARRAY($D$1),COUNTIF(_xlfn.ANCHORARRAY($K$2),TRUE)))</f>
        <v>12408000</v>
      </c>
      <c r="T81" s="2">
        <v>7140000</v>
      </c>
      <c r="U81" s="2">
        <f t="shared" ca="1" si="7"/>
        <v>19548000</v>
      </c>
      <c r="V81" s="2">
        <v>14280000</v>
      </c>
      <c r="W81" t="b">
        <f t="shared" ca="1" si="8"/>
        <v>0</v>
      </c>
      <c r="X81" t="b">
        <f t="shared" ca="1" si="9"/>
        <v>1</v>
      </c>
    </row>
    <row r="82" spans="7:24" x14ac:dyDescent="0.25">
      <c r="G82">
        <v>85</v>
      </c>
      <c r="H82" s="2">
        <v>85000000</v>
      </c>
      <c r="I82" s="2">
        <v>61775000</v>
      </c>
      <c r="J82" s="2">
        <f t="shared" si="5"/>
        <v>61775000</v>
      </c>
      <c r="K82" t="b" cm="1">
        <f t="array" ref="K82:Q82">TRANSPOSE(I82&gt;$C$1:$C$7)</f>
        <v>1</v>
      </c>
      <c r="L82" t="b">
        <v>1</v>
      </c>
      <c r="M82" t="b">
        <v>1</v>
      </c>
      <c r="N82" t="b">
        <v>1</v>
      </c>
      <c r="O82" t="b">
        <v>1</v>
      </c>
      <c r="P82" t="b">
        <v>0</v>
      </c>
      <c r="Q82" t="b">
        <v>1</v>
      </c>
      <c r="R82">
        <f t="shared" si="6"/>
        <v>6</v>
      </c>
      <c r="S82" s="2" cm="1">
        <f t="array" aca="1" ref="S82" ca="1">MAX(0,J82*INDEX($B$1:$B$7,COUNTIF(_xlfn.ANCHORARRAY($K$2),TRUE))-INDEX(_xlfn.ANCHORARRAY($D$1),COUNTIF(_xlfn.ANCHORARRAY($K$2),TRUE)))</f>
        <v>12682500</v>
      </c>
      <c r="T82" s="2">
        <v>7225000</v>
      </c>
      <c r="U82" s="2">
        <f t="shared" ca="1" si="7"/>
        <v>19907500</v>
      </c>
      <c r="V82" s="2">
        <v>14450000</v>
      </c>
      <c r="W82" t="b">
        <f t="shared" ca="1" si="8"/>
        <v>0</v>
      </c>
      <c r="X82" t="b">
        <f t="shared" ca="1" si="9"/>
        <v>1</v>
      </c>
    </row>
    <row r="83" spans="7:24" x14ac:dyDescent="0.25">
      <c r="G83">
        <v>86</v>
      </c>
      <c r="H83" s="2">
        <v>86000000</v>
      </c>
      <c r="I83" s="2">
        <v>62690000</v>
      </c>
      <c r="J83" s="2">
        <f t="shared" si="5"/>
        <v>62690000</v>
      </c>
      <c r="K83" t="b" cm="1">
        <f t="array" ref="K83:Q83">TRANSPOSE(I83&gt;$C$1:$C$7)</f>
        <v>1</v>
      </c>
      <c r="L83" t="b">
        <v>1</v>
      </c>
      <c r="M83" t="b">
        <v>1</v>
      </c>
      <c r="N83" t="b">
        <v>1</v>
      </c>
      <c r="O83" t="b">
        <v>1</v>
      </c>
      <c r="P83" t="b">
        <v>0</v>
      </c>
      <c r="Q83" t="b">
        <v>1</v>
      </c>
      <c r="R83">
        <f t="shared" si="6"/>
        <v>6</v>
      </c>
      <c r="S83" s="2" cm="1">
        <f t="array" aca="1" ref="S83" ca="1">MAX(0,J83*INDEX($B$1:$B$7,COUNTIF(_xlfn.ANCHORARRAY($K$2),TRUE))-INDEX(_xlfn.ANCHORARRAY($D$1),COUNTIF(_xlfn.ANCHORARRAY($K$2),TRUE)))</f>
        <v>12957000</v>
      </c>
      <c r="T83" s="2">
        <v>7310000</v>
      </c>
      <c r="U83" s="2">
        <f t="shared" ca="1" si="7"/>
        <v>20267000</v>
      </c>
      <c r="V83" s="2">
        <v>14620000</v>
      </c>
      <c r="W83" t="b">
        <f t="shared" ca="1" si="8"/>
        <v>0</v>
      </c>
      <c r="X83" t="b">
        <f t="shared" ca="1" si="9"/>
        <v>1</v>
      </c>
    </row>
    <row r="84" spans="7:24" x14ac:dyDescent="0.25">
      <c r="G84">
        <v>87</v>
      </c>
      <c r="H84" s="2">
        <v>87000000</v>
      </c>
      <c r="I84" s="2">
        <v>63605000.000000007</v>
      </c>
      <c r="J84" s="2">
        <f t="shared" si="5"/>
        <v>63605000.000000007</v>
      </c>
      <c r="K84" t="b" cm="1">
        <f t="array" ref="K84:Q84">TRANSPOSE(I84&gt;$C$1:$C$7)</f>
        <v>1</v>
      </c>
      <c r="L84" t="b">
        <v>1</v>
      </c>
      <c r="M84" t="b">
        <v>1</v>
      </c>
      <c r="N84" t="b">
        <v>1</v>
      </c>
      <c r="O84" t="b">
        <v>1</v>
      </c>
      <c r="P84" t="b">
        <v>0</v>
      </c>
      <c r="Q84" t="b">
        <v>1</v>
      </c>
      <c r="R84">
        <f t="shared" si="6"/>
        <v>6</v>
      </c>
      <c r="S84" s="2" cm="1">
        <f t="array" aca="1" ref="S84" ca="1">MAX(0,J84*INDEX($B$1:$B$7,COUNTIF(_xlfn.ANCHORARRAY($K$2),TRUE))-INDEX(_xlfn.ANCHORARRAY($D$1),COUNTIF(_xlfn.ANCHORARRAY($K$2),TRUE)))</f>
        <v>13231500</v>
      </c>
      <c r="T84" s="2">
        <v>7395000</v>
      </c>
      <c r="U84" s="2">
        <f t="shared" ca="1" si="7"/>
        <v>20626500</v>
      </c>
      <c r="V84" s="2">
        <v>14790000</v>
      </c>
      <c r="W84" t="b">
        <f t="shared" ca="1" si="8"/>
        <v>0</v>
      </c>
      <c r="X84" t="b">
        <f t="shared" ca="1" si="9"/>
        <v>1</v>
      </c>
    </row>
    <row r="85" spans="7:24" x14ac:dyDescent="0.25">
      <c r="G85">
        <v>88</v>
      </c>
      <c r="H85" s="2">
        <v>88000000</v>
      </c>
      <c r="I85" s="2">
        <v>64519999.999999993</v>
      </c>
      <c r="J85" s="2">
        <f t="shared" si="5"/>
        <v>64519999.999999993</v>
      </c>
      <c r="K85" t="b" cm="1">
        <f t="array" ref="K85:Q85">TRANSPOSE(I85&gt;$C$1:$C$7)</f>
        <v>1</v>
      </c>
      <c r="L85" t="b">
        <v>1</v>
      </c>
      <c r="M85" t="b">
        <v>1</v>
      </c>
      <c r="N85" t="b">
        <v>1</v>
      </c>
      <c r="O85" t="b">
        <v>1</v>
      </c>
      <c r="P85" t="b">
        <v>0</v>
      </c>
      <c r="Q85" t="b">
        <v>1</v>
      </c>
      <c r="R85">
        <f t="shared" si="6"/>
        <v>6</v>
      </c>
      <c r="S85" s="2" cm="1">
        <f t="array" aca="1" ref="S85" ca="1">MAX(0,J85*INDEX($B$1:$B$7,COUNTIF(_xlfn.ANCHORARRAY($K$2),TRUE))-INDEX(_xlfn.ANCHORARRAY($D$1),COUNTIF(_xlfn.ANCHORARRAY($K$2),TRUE)))</f>
        <v>13505999.999999996</v>
      </c>
      <c r="T85" s="2">
        <v>7480000</v>
      </c>
      <c r="U85" s="2">
        <f t="shared" ca="1" si="7"/>
        <v>20985999.999999996</v>
      </c>
      <c r="V85" s="2">
        <v>14960000</v>
      </c>
      <c r="W85" t="b">
        <f t="shared" ca="1" si="8"/>
        <v>0</v>
      </c>
      <c r="X85" t="b">
        <f t="shared" ca="1" si="9"/>
        <v>1</v>
      </c>
    </row>
    <row r="86" spans="7:24" x14ac:dyDescent="0.25">
      <c r="G86">
        <v>89</v>
      </c>
      <c r="H86" s="2">
        <v>89000000</v>
      </c>
      <c r="I86" s="2">
        <v>65435000</v>
      </c>
      <c r="J86" s="2">
        <f t="shared" si="5"/>
        <v>65435000</v>
      </c>
      <c r="K86" t="b" cm="1">
        <f t="array" ref="K86:Q86">TRANSPOSE(I86&gt;$C$1:$C$7)</f>
        <v>1</v>
      </c>
      <c r="L86" t="b">
        <v>1</v>
      </c>
      <c r="M86" t="b">
        <v>1</v>
      </c>
      <c r="N86" t="b">
        <v>1</v>
      </c>
      <c r="O86" t="b">
        <v>1</v>
      </c>
      <c r="P86" t="b">
        <v>0</v>
      </c>
      <c r="Q86" t="b">
        <v>1</v>
      </c>
      <c r="R86">
        <f t="shared" si="6"/>
        <v>6</v>
      </c>
      <c r="S86" s="2" cm="1">
        <f t="array" aca="1" ref="S86" ca="1">MAX(0,J86*INDEX($B$1:$B$7,COUNTIF(_xlfn.ANCHORARRAY($K$2),TRUE))-INDEX(_xlfn.ANCHORARRAY($D$1),COUNTIF(_xlfn.ANCHORARRAY($K$2),TRUE)))</f>
        <v>13780500</v>
      </c>
      <c r="T86" s="2">
        <v>7565000</v>
      </c>
      <c r="U86" s="2">
        <f t="shared" ca="1" si="7"/>
        <v>21345500</v>
      </c>
      <c r="V86" s="2">
        <v>15130000</v>
      </c>
      <c r="W86" t="b">
        <f t="shared" ca="1" si="8"/>
        <v>0</v>
      </c>
      <c r="X86" t="b">
        <f t="shared" ca="1" si="9"/>
        <v>1</v>
      </c>
    </row>
    <row r="87" spans="7:24" x14ac:dyDescent="0.25">
      <c r="G87">
        <v>90</v>
      </c>
      <c r="H87" s="2">
        <v>90000000</v>
      </c>
      <c r="I87" s="2">
        <v>66349999.999999993</v>
      </c>
      <c r="J87" s="2">
        <f t="shared" si="5"/>
        <v>66349999.999999993</v>
      </c>
      <c r="K87" t="b" cm="1">
        <f t="array" ref="K87:Q87">TRANSPOSE(I87&gt;$C$1:$C$7)</f>
        <v>1</v>
      </c>
      <c r="L87" t="b">
        <v>1</v>
      </c>
      <c r="M87" t="b">
        <v>1</v>
      </c>
      <c r="N87" t="b">
        <v>1</v>
      </c>
      <c r="O87" t="b">
        <v>1</v>
      </c>
      <c r="P87" t="b">
        <v>0</v>
      </c>
      <c r="Q87" t="b">
        <v>1</v>
      </c>
      <c r="R87">
        <f t="shared" si="6"/>
        <v>6</v>
      </c>
      <c r="S87" s="2" cm="1">
        <f t="array" aca="1" ref="S87" ca="1">MAX(0,J87*INDEX($B$1:$B$7,COUNTIF(_xlfn.ANCHORARRAY($K$2),TRUE))-INDEX(_xlfn.ANCHORARRAY($D$1),COUNTIF(_xlfn.ANCHORARRAY($K$2),TRUE)))</f>
        <v>14054999.999999996</v>
      </c>
      <c r="T87" s="2">
        <v>7650000</v>
      </c>
      <c r="U87" s="2">
        <f t="shared" ca="1" si="7"/>
        <v>21704999.999999996</v>
      </c>
      <c r="V87" s="2">
        <v>15300000</v>
      </c>
      <c r="W87" t="b">
        <f t="shared" ca="1" si="8"/>
        <v>0</v>
      </c>
      <c r="X87" t="b">
        <f t="shared" ca="1" si="9"/>
        <v>1</v>
      </c>
    </row>
    <row r="88" spans="7:24" x14ac:dyDescent="0.25">
      <c r="G88">
        <v>91</v>
      </c>
      <c r="H88" s="2">
        <v>91000000</v>
      </c>
      <c r="I88" s="2">
        <v>67265000</v>
      </c>
      <c r="J88" s="2">
        <f t="shared" si="5"/>
        <v>67265000</v>
      </c>
      <c r="K88" t="b" cm="1">
        <f t="array" ref="K88:Q88">TRANSPOSE(I88&gt;$C$1:$C$7)</f>
        <v>1</v>
      </c>
      <c r="L88" t="b">
        <v>1</v>
      </c>
      <c r="M88" t="b">
        <v>1</v>
      </c>
      <c r="N88" t="b">
        <v>1</v>
      </c>
      <c r="O88" t="b">
        <v>1</v>
      </c>
      <c r="P88" t="b">
        <v>0</v>
      </c>
      <c r="Q88" t="b">
        <v>1</v>
      </c>
      <c r="R88">
        <f t="shared" si="6"/>
        <v>6</v>
      </c>
      <c r="S88" s="2" cm="1">
        <f t="array" aca="1" ref="S88" ca="1">MAX(0,J88*INDEX($B$1:$B$7,COUNTIF(_xlfn.ANCHORARRAY($K$2),TRUE))-INDEX(_xlfn.ANCHORARRAY($D$1),COUNTIF(_xlfn.ANCHORARRAY($K$2),TRUE)))</f>
        <v>14329500</v>
      </c>
      <c r="T88" s="2">
        <v>7735000</v>
      </c>
      <c r="U88" s="2">
        <f t="shared" ca="1" si="7"/>
        <v>22064500</v>
      </c>
      <c r="V88" s="2">
        <v>15470000</v>
      </c>
      <c r="W88" t="b">
        <f t="shared" ca="1" si="8"/>
        <v>0</v>
      </c>
      <c r="X88" t="b">
        <f t="shared" ca="1" si="9"/>
        <v>1</v>
      </c>
    </row>
    <row r="89" spans="7:24" x14ac:dyDescent="0.25">
      <c r="G89">
        <v>92</v>
      </c>
      <c r="H89" s="2">
        <v>92000000</v>
      </c>
      <c r="I89" s="2">
        <v>68180000</v>
      </c>
      <c r="J89" s="2">
        <f t="shared" si="5"/>
        <v>68180000</v>
      </c>
      <c r="K89" t="b" cm="1">
        <f t="array" ref="K89:Q89">TRANSPOSE(I89&gt;$C$1:$C$7)</f>
        <v>1</v>
      </c>
      <c r="L89" t="b">
        <v>1</v>
      </c>
      <c r="M89" t="b">
        <v>1</v>
      </c>
      <c r="N89" t="b">
        <v>1</v>
      </c>
      <c r="O89" t="b">
        <v>1</v>
      </c>
      <c r="P89" t="b">
        <v>0</v>
      </c>
      <c r="Q89" t="b">
        <v>1</v>
      </c>
      <c r="R89">
        <f t="shared" si="6"/>
        <v>6</v>
      </c>
      <c r="S89" s="2" cm="1">
        <f t="array" aca="1" ref="S89" ca="1">MAX(0,J89*INDEX($B$1:$B$7,COUNTIF(_xlfn.ANCHORARRAY($K$2),TRUE))-INDEX(_xlfn.ANCHORARRAY($D$1),COUNTIF(_xlfn.ANCHORARRAY($K$2),TRUE)))</f>
        <v>14604000</v>
      </c>
      <c r="T89" s="2">
        <v>7820000</v>
      </c>
      <c r="U89" s="2">
        <f t="shared" ca="1" si="7"/>
        <v>22424000</v>
      </c>
      <c r="V89" s="2">
        <v>15640000</v>
      </c>
      <c r="W89" t="b">
        <f t="shared" ca="1" si="8"/>
        <v>0</v>
      </c>
      <c r="X89" t="b">
        <f t="shared" ca="1" si="9"/>
        <v>1</v>
      </c>
    </row>
    <row r="90" spans="7:24" x14ac:dyDescent="0.25">
      <c r="G90">
        <v>93</v>
      </c>
      <c r="H90" s="2">
        <v>93000000</v>
      </c>
      <c r="I90" s="2">
        <v>69095000</v>
      </c>
      <c r="J90" s="2">
        <f t="shared" si="5"/>
        <v>69095000</v>
      </c>
      <c r="K90" t="b" cm="1">
        <f t="array" ref="K90:Q90">TRANSPOSE(I90&gt;$C$1:$C$7)</f>
        <v>1</v>
      </c>
      <c r="L90" t="b">
        <v>1</v>
      </c>
      <c r="M90" t="b">
        <v>1</v>
      </c>
      <c r="N90" t="b">
        <v>1</v>
      </c>
      <c r="O90" t="b">
        <v>1</v>
      </c>
      <c r="P90" t="b">
        <v>0</v>
      </c>
      <c r="Q90" t="b">
        <v>1</v>
      </c>
      <c r="R90">
        <f t="shared" si="6"/>
        <v>6</v>
      </c>
      <c r="S90" s="2" cm="1">
        <f t="array" aca="1" ref="S90" ca="1">MAX(0,J90*INDEX($B$1:$B$7,COUNTIF(_xlfn.ANCHORARRAY($K$2),TRUE))-INDEX(_xlfn.ANCHORARRAY($D$1),COUNTIF(_xlfn.ANCHORARRAY($K$2),TRUE)))</f>
        <v>14878500</v>
      </c>
      <c r="T90" s="2">
        <v>7905000</v>
      </c>
      <c r="U90" s="2">
        <f t="shared" ca="1" si="7"/>
        <v>22783500</v>
      </c>
      <c r="V90" s="2">
        <v>15810000</v>
      </c>
      <c r="W90" t="b">
        <f t="shared" ca="1" si="8"/>
        <v>0</v>
      </c>
      <c r="X90" t="b">
        <f t="shared" ca="1" si="9"/>
        <v>1</v>
      </c>
    </row>
    <row r="91" spans="7:24" x14ac:dyDescent="0.25">
      <c r="G91">
        <v>94</v>
      </c>
      <c r="H91" s="2">
        <v>94000000</v>
      </c>
      <c r="I91" s="2">
        <v>70010000</v>
      </c>
      <c r="J91" s="2">
        <f t="shared" si="5"/>
        <v>70010000</v>
      </c>
      <c r="K91" t="b" cm="1">
        <f t="array" ref="K91:Q91">TRANSPOSE(I91&gt;$C$1:$C$7)</f>
        <v>1</v>
      </c>
      <c r="L91" t="b">
        <v>1</v>
      </c>
      <c r="M91" t="b">
        <v>1</v>
      </c>
      <c r="N91" t="b">
        <v>1</v>
      </c>
      <c r="O91" t="b">
        <v>1</v>
      </c>
      <c r="P91" t="b">
        <v>0</v>
      </c>
      <c r="Q91" t="b">
        <v>1</v>
      </c>
      <c r="R91">
        <f t="shared" si="6"/>
        <v>6</v>
      </c>
      <c r="S91" s="2" cm="1">
        <f t="array" aca="1" ref="S91" ca="1">MAX(0,J91*INDEX($B$1:$B$7,COUNTIF(_xlfn.ANCHORARRAY($K$2),TRUE))-INDEX(_xlfn.ANCHORARRAY($D$1),COUNTIF(_xlfn.ANCHORARRAY($K$2),TRUE)))</f>
        <v>15153000</v>
      </c>
      <c r="T91" s="2">
        <v>7990000</v>
      </c>
      <c r="U91" s="2">
        <f t="shared" ca="1" si="7"/>
        <v>23143000</v>
      </c>
      <c r="V91" s="2">
        <v>15980000</v>
      </c>
      <c r="W91" t="b">
        <f t="shared" ca="1" si="8"/>
        <v>0</v>
      </c>
      <c r="X91" t="b">
        <f t="shared" ca="1" si="9"/>
        <v>1</v>
      </c>
    </row>
    <row r="92" spans="7:24" x14ac:dyDescent="0.25">
      <c r="G92">
        <v>95</v>
      </c>
      <c r="H92" s="2">
        <v>95000000</v>
      </c>
      <c r="I92" s="2">
        <v>70925000</v>
      </c>
      <c r="J92" s="2">
        <f t="shared" si="5"/>
        <v>70925000</v>
      </c>
      <c r="K92" t="b" cm="1">
        <f t="array" ref="K92:Q92">TRANSPOSE(I92&gt;$C$1:$C$7)</f>
        <v>1</v>
      </c>
      <c r="L92" t="b">
        <v>1</v>
      </c>
      <c r="M92" t="b">
        <v>1</v>
      </c>
      <c r="N92" t="b">
        <v>1</v>
      </c>
      <c r="O92" t="b">
        <v>1</v>
      </c>
      <c r="P92" t="b">
        <v>0</v>
      </c>
      <c r="Q92" t="b">
        <v>1</v>
      </c>
      <c r="R92">
        <f t="shared" si="6"/>
        <v>6</v>
      </c>
      <c r="S92" s="2" cm="1">
        <f t="array" aca="1" ref="S92" ca="1">MAX(0,J92*INDEX($B$1:$B$7,COUNTIF(_xlfn.ANCHORARRAY($K$2),TRUE))-INDEX(_xlfn.ANCHORARRAY($D$1),COUNTIF(_xlfn.ANCHORARRAY($K$2),TRUE)))</f>
        <v>15427500</v>
      </c>
      <c r="T92" s="2">
        <v>8075000</v>
      </c>
      <c r="U92" s="2">
        <f t="shared" ca="1" si="7"/>
        <v>23502500</v>
      </c>
      <c r="V92" s="2">
        <v>16150000</v>
      </c>
      <c r="W92" t="b">
        <f t="shared" ca="1" si="8"/>
        <v>0</v>
      </c>
      <c r="X92" t="b">
        <f t="shared" ca="1" si="9"/>
        <v>1</v>
      </c>
    </row>
    <row r="93" spans="7:24" x14ac:dyDescent="0.25">
      <c r="G93">
        <v>96</v>
      </c>
      <c r="H93" s="2">
        <v>96000000</v>
      </c>
      <c r="I93" s="2">
        <v>71840000</v>
      </c>
      <c r="J93" s="2">
        <f t="shared" si="5"/>
        <v>71840000</v>
      </c>
      <c r="K93" t="b" cm="1">
        <f t="array" ref="K93:Q93">TRANSPOSE(I93&gt;$C$1:$C$7)</f>
        <v>1</v>
      </c>
      <c r="L93" t="b">
        <v>1</v>
      </c>
      <c r="M93" t="b">
        <v>1</v>
      </c>
      <c r="N93" t="b">
        <v>1</v>
      </c>
      <c r="O93" t="b">
        <v>1</v>
      </c>
      <c r="P93" t="b">
        <v>0</v>
      </c>
      <c r="Q93" t="b">
        <v>1</v>
      </c>
      <c r="R93">
        <f t="shared" si="6"/>
        <v>6</v>
      </c>
      <c r="S93" s="2" cm="1">
        <f t="array" aca="1" ref="S93" ca="1">MAX(0,J93*INDEX($B$1:$B$7,COUNTIF(_xlfn.ANCHORARRAY($K$2),TRUE))-INDEX(_xlfn.ANCHORARRAY($D$1),COUNTIF(_xlfn.ANCHORARRAY($K$2),TRUE)))</f>
        <v>15702000</v>
      </c>
      <c r="T93" s="2">
        <v>8160000</v>
      </c>
      <c r="U93" s="2">
        <f t="shared" ca="1" si="7"/>
        <v>23862000</v>
      </c>
      <c r="V93" s="2">
        <v>16320000</v>
      </c>
      <c r="W93" t="b">
        <f t="shared" ca="1" si="8"/>
        <v>0</v>
      </c>
      <c r="X93" t="b">
        <f t="shared" ca="1" si="9"/>
        <v>1</v>
      </c>
    </row>
    <row r="94" spans="7:24" x14ac:dyDescent="0.25">
      <c r="G94">
        <v>97</v>
      </c>
      <c r="H94" s="2">
        <v>97000000</v>
      </c>
      <c r="I94" s="2">
        <v>72755000</v>
      </c>
      <c r="J94" s="2">
        <f t="shared" si="5"/>
        <v>72755000</v>
      </c>
      <c r="K94" t="b" cm="1">
        <f t="array" ref="K94:Q94">TRANSPOSE(I94&gt;$C$1:$C$7)</f>
        <v>1</v>
      </c>
      <c r="L94" t="b">
        <v>1</v>
      </c>
      <c r="M94" t="b">
        <v>1</v>
      </c>
      <c r="N94" t="b">
        <v>1</v>
      </c>
      <c r="O94" t="b">
        <v>1</v>
      </c>
      <c r="P94" t="b">
        <v>0</v>
      </c>
      <c r="Q94" t="b">
        <v>1</v>
      </c>
      <c r="R94">
        <f t="shared" si="6"/>
        <v>6</v>
      </c>
      <c r="S94" s="2" cm="1">
        <f t="array" aca="1" ref="S94" ca="1">MAX(0,J94*INDEX($B$1:$B$7,COUNTIF(_xlfn.ANCHORARRAY($K$2),TRUE))-INDEX(_xlfn.ANCHORARRAY($D$1),COUNTIF(_xlfn.ANCHORARRAY($K$2),TRUE)))</f>
        <v>15976500</v>
      </c>
      <c r="T94" s="2">
        <v>8245000</v>
      </c>
      <c r="U94" s="2">
        <f t="shared" ca="1" si="7"/>
        <v>24221500</v>
      </c>
      <c r="V94" s="2">
        <v>16490000</v>
      </c>
      <c r="W94" t="b">
        <f t="shared" ca="1" si="8"/>
        <v>0</v>
      </c>
      <c r="X94" t="b">
        <f t="shared" ca="1" si="9"/>
        <v>1</v>
      </c>
    </row>
    <row r="95" spans="7:24" x14ac:dyDescent="0.25">
      <c r="G95">
        <v>98</v>
      </c>
      <c r="H95" s="2">
        <v>98000000</v>
      </c>
      <c r="I95" s="2">
        <v>73670000</v>
      </c>
      <c r="J95" s="2">
        <f t="shared" si="5"/>
        <v>73670000</v>
      </c>
      <c r="K95" t="b" cm="1">
        <f t="array" ref="K95:Q95">TRANSPOSE(I95&gt;$C$1:$C$7)</f>
        <v>1</v>
      </c>
      <c r="L95" t="b">
        <v>1</v>
      </c>
      <c r="M95" t="b">
        <v>1</v>
      </c>
      <c r="N95" t="b">
        <v>1</v>
      </c>
      <c r="O95" t="b">
        <v>1</v>
      </c>
      <c r="P95" t="b">
        <v>0</v>
      </c>
      <c r="Q95" t="b">
        <v>1</v>
      </c>
      <c r="R95">
        <f t="shared" si="6"/>
        <v>6</v>
      </c>
      <c r="S95" s="2" cm="1">
        <f t="array" aca="1" ref="S95" ca="1">MAX(0,J95*INDEX($B$1:$B$7,COUNTIF(_xlfn.ANCHORARRAY($K$2),TRUE))-INDEX(_xlfn.ANCHORARRAY($D$1),COUNTIF(_xlfn.ANCHORARRAY($K$2),TRUE)))</f>
        <v>16251000</v>
      </c>
      <c r="T95" s="2">
        <v>8330000</v>
      </c>
      <c r="U95" s="2">
        <f t="shared" ca="1" si="7"/>
        <v>24581000</v>
      </c>
      <c r="V95" s="2">
        <v>16660000</v>
      </c>
      <c r="W95" t="b">
        <f t="shared" ca="1" si="8"/>
        <v>0</v>
      </c>
      <c r="X95" t="b">
        <f t="shared" ca="1" si="9"/>
        <v>1</v>
      </c>
    </row>
    <row r="96" spans="7:24" x14ac:dyDescent="0.25">
      <c r="G96">
        <v>99</v>
      </c>
      <c r="H96" s="2">
        <v>99000000</v>
      </c>
      <c r="I96" s="2">
        <v>74585000.000000015</v>
      </c>
      <c r="J96" s="2">
        <f t="shared" si="5"/>
        <v>74585000.000000015</v>
      </c>
      <c r="K96" t="b" cm="1">
        <f t="array" ref="K96:Q96">TRANSPOSE(I96&gt;$C$1:$C$7)</f>
        <v>1</v>
      </c>
      <c r="L96" t="b">
        <v>1</v>
      </c>
      <c r="M96" t="b">
        <v>1</v>
      </c>
      <c r="N96" t="b">
        <v>1</v>
      </c>
      <c r="O96" t="b">
        <v>1</v>
      </c>
      <c r="P96" t="b">
        <v>0</v>
      </c>
      <c r="Q96" t="b">
        <v>1</v>
      </c>
      <c r="R96">
        <f t="shared" si="6"/>
        <v>6</v>
      </c>
      <c r="S96" s="2" cm="1">
        <f t="array" aca="1" ref="S96" ca="1">MAX(0,J96*INDEX($B$1:$B$7,COUNTIF(_xlfn.ANCHORARRAY($K$2),TRUE))-INDEX(_xlfn.ANCHORARRAY($D$1),COUNTIF(_xlfn.ANCHORARRAY($K$2),TRUE)))</f>
        <v>16525500.000000004</v>
      </c>
      <c r="T96" s="2">
        <v>8415000</v>
      </c>
      <c r="U96" s="2">
        <f t="shared" ca="1" si="7"/>
        <v>24940500.000000004</v>
      </c>
      <c r="V96" s="2">
        <v>16830000</v>
      </c>
      <c r="W96" t="b">
        <f t="shared" ca="1" si="8"/>
        <v>0</v>
      </c>
      <c r="X96" t="b">
        <f t="shared" ca="1" si="9"/>
        <v>1</v>
      </c>
    </row>
    <row r="97" spans="7:24" x14ac:dyDescent="0.25">
      <c r="G97">
        <v>100</v>
      </c>
      <c r="H97" s="2">
        <v>100000000</v>
      </c>
      <c r="I97" s="2">
        <v>75500000</v>
      </c>
      <c r="J97" s="2">
        <f t="shared" si="5"/>
        <v>75500000</v>
      </c>
      <c r="K97" t="b" cm="1">
        <f t="array" ref="K97:Q97">TRANSPOSE(I97&gt;$C$1:$C$7)</f>
        <v>1</v>
      </c>
      <c r="L97" t="b">
        <v>1</v>
      </c>
      <c r="M97" t="b">
        <v>1</v>
      </c>
      <c r="N97" t="b">
        <v>1</v>
      </c>
      <c r="O97" t="b">
        <v>1</v>
      </c>
      <c r="P97" t="b">
        <v>0</v>
      </c>
      <c r="Q97" t="b">
        <v>1</v>
      </c>
      <c r="R97">
        <f t="shared" si="6"/>
        <v>6</v>
      </c>
      <c r="S97" s="2" cm="1">
        <f t="array" aca="1" ref="S97" ca="1">MAX(0,J97*INDEX($B$1:$B$7,COUNTIF(_xlfn.ANCHORARRAY($K$2),TRUE))-INDEX(_xlfn.ANCHORARRAY($D$1),COUNTIF(_xlfn.ANCHORARRAY($K$2),TRUE)))</f>
        <v>16800000</v>
      </c>
      <c r="T97" s="2">
        <v>8500000</v>
      </c>
      <c r="U97" s="2">
        <f t="shared" ca="1" si="7"/>
        <v>25300000</v>
      </c>
      <c r="V97" s="2">
        <v>17000000</v>
      </c>
      <c r="W97" t="b">
        <f t="shared" ca="1" si="8"/>
        <v>0</v>
      </c>
      <c r="X97" t="b">
        <f t="shared" ca="1" si="9"/>
        <v>1</v>
      </c>
    </row>
    <row r="98" spans="7:24" x14ac:dyDescent="0.25">
      <c r="G98" s="6">
        <v>101</v>
      </c>
      <c r="H98" s="2">
        <v>101000000</v>
      </c>
      <c r="I98" s="2">
        <v>76414999.999999985</v>
      </c>
      <c r="J98" s="2">
        <f t="shared" si="5"/>
        <v>76414999.999999985</v>
      </c>
      <c r="K98" t="b" cm="1">
        <f t="array" ref="K98:Q98">TRANSPOSE(I98&gt;$C$1:$C$7)</f>
        <v>1</v>
      </c>
      <c r="L98" t="b">
        <v>1</v>
      </c>
      <c r="M98" t="b">
        <v>1</v>
      </c>
      <c r="N98" t="b">
        <v>1</v>
      </c>
      <c r="O98" t="b">
        <v>1</v>
      </c>
      <c r="P98" t="b">
        <v>0</v>
      </c>
      <c r="Q98" t="b">
        <v>1</v>
      </c>
      <c r="R98">
        <f t="shared" si="6"/>
        <v>6</v>
      </c>
      <c r="S98" s="2" cm="1">
        <f t="array" aca="1" ref="S98" ca="1">MAX(0,J98*INDEX($B$1:$B$7,COUNTIF(_xlfn.ANCHORARRAY($K$2),TRUE))-INDEX(_xlfn.ANCHORARRAY($D$1),COUNTIF(_xlfn.ANCHORARRAY($K$2),TRUE)))</f>
        <v>17074499.999999996</v>
      </c>
      <c r="T98" s="2">
        <v>8585000</v>
      </c>
      <c r="U98" s="2">
        <f t="shared" ca="1" si="7"/>
        <v>25659499.999999996</v>
      </c>
      <c r="V98" s="2">
        <v>17170000</v>
      </c>
      <c r="W98" t="b">
        <f t="shared" ca="1" si="8"/>
        <v>0</v>
      </c>
      <c r="X98" t="b">
        <f t="shared" ca="1" si="9"/>
        <v>1</v>
      </c>
    </row>
    <row r="99" spans="7:24" x14ac:dyDescent="0.25">
      <c r="G99">
        <v>102</v>
      </c>
      <c r="H99" s="2">
        <v>102000000</v>
      </c>
      <c r="I99" s="2">
        <v>77330000</v>
      </c>
      <c r="J99" s="2">
        <f t="shared" si="5"/>
        <v>77330000</v>
      </c>
      <c r="K99" t="b" cm="1">
        <f t="array" ref="K99:Q99">TRANSPOSE(I99&gt;$C$1:$C$7)</f>
        <v>1</v>
      </c>
      <c r="L99" t="b">
        <v>1</v>
      </c>
      <c r="M99" t="b">
        <v>1</v>
      </c>
      <c r="N99" t="b">
        <v>1</v>
      </c>
      <c r="O99" t="b">
        <v>1</v>
      </c>
      <c r="P99" t="b">
        <v>0</v>
      </c>
      <c r="Q99" t="b">
        <v>1</v>
      </c>
      <c r="R99">
        <f t="shared" si="6"/>
        <v>6</v>
      </c>
      <c r="S99" s="2" cm="1">
        <f t="array" aca="1" ref="S99" ca="1">MAX(0,J99*INDEX($B$1:$B$7,COUNTIF(_xlfn.ANCHORARRAY($K$2),TRUE))-INDEX(_xlfn.ANCHORARRAY($D$1),COUNTIF(_xlfn.ANCHORARRAY($K$2),TRUE)))</f>
        <v>17349000</v>
      </c>
      <c r="T99" s="2">
        <v>8670000</v>
      </c>
      <c r="U99" s="2">
        <f t="shared" ca="1" si="7"/>
        <v>26019000</v>
      </c>
      <c r="V99" s="2">
        <v>17340000</v>
      </c>
      <c r="W99" t="b">
        <f t="shared" ca="1" si="8"/>
        <v>0</v>
      </c>
      <c r="X99" t="b">
        <f t="shared" ca="1" si="9"/>
        <v>0</v>
      </c>
    </row>
    <row r="100" spans="7:24" x14ac:dyDescent="0.25">
      <c r="G100">
        <v>103</v>
      </c>
      <c r="H100" s="2">
        <v>103000000</v>
      </c>
      <c r="I100" s="2">
        <v>78245000</v>
      </c>
      <c r="J100" s="2">
        <f t="shared" si="5"/>
        <v>78245000</v>
      </c>
      <c r="K100" t="b" cm="1">
        <f t="array" ref="K100:Q100">TRANSPOSE(I100&gt;$C$1:$C$7)</f>
        <v>1</v>
      </c>
      <c r="L100" t="b">
        <v>1</v>
      </c>
      <c r="M100" t="b">
        <v>1</v>
      </c>
      <c r="N100" t="b">
        <v>1</v>
      </c>
      <c r="O100" t="b">
        <v>1</v>
      </c>
      <c r="P100" t="b">
        <v>0</v>
      </c>
      <c r="Q100" t="b">
        <v>1</v>
      </c>
      <c r="R100">
        <f t="shared" si="6"/>
        <v>6</v>
      </c>
      <c r="S100" s="2" cm="1">
        <f t="array" aca="1" ref="S100" ca="1">MAX(0,J100*INDEX($B$1:$B$7,COUNTIF(_xlfn.ANCHORARRAY($K$2),TRUE))-INDEX(_xlfn.ANCHORARRAY($D$1),COUNTIF(_xlfn.ANCHORARRAY($K$2),TRUE)))</f>
        <v>17623500</v>
      </c>
      <c r="T100" s="2">
        <v>8755000</v>
      </c>
      <c r="U100" s="2">
        <f t="shared" ca="1" si="7"/>
        <v>26378500</v>
      </c>
      <c r="V100" s="2">
        <v>17510000</v>
      </c>
      <c r="W100" t="b">
        <f t="shared" ca="1" si="8"/>
        <v>0</v>
      </c>
      <c r="X100" t="b">
        <f t="shared" ca="1" si="9"/>
        <v>0</v>
      </c>
    </row>
    <row r="101" spans="7:24" x14ac:dyDescent="0.25">
      <c r="G101">
        <v>104</v>
      </c>
      <c r="H101" s="2">
        <v>104000000</v>
      </c>
      <c r="I101" s="2">
        <v>79160000</v>
      </c>
      <c r="J101" s="2">
        <f t="shared" si="5"/>
        <v>79160000</v>
      </c>
      <c r="K101" t="b" cm="1">
        <f t="array" ref="K101:Q101">TRANSPOSE(I101&gt;$C$1:$C$7)</f>
        <v>1</v>
      </c>
      <c r="L101" t="b">
        <v>1</v>
      </c>
      <c r="M101" t="b">
        <v>1</v>
      </c>
      <c r="N101" t="b">
        <v>1</v>
      </c>
      <c r="O101" t="b">
        <v>1</v>
      </c>
      <c r="P101" t="b">
        <v>0</v>
      </c>
      <c r="Q101" t="b">
        <v>1</v>
      </c>
      <c r="R101">
        <f t="shared" si="6"/>
        <v>6</v>
      </c>
      <c r="S101" s="2" cm="1">
        <f t="array" aca="1" ref="S101" ca="1">MAX(0,J101*INDEX($B$1:$B$7,COUNTIF(_xlfn.ANCHORARRAY($K$2),TRUE))-INDEX(_xlfn.ANCHORARRAY($D$1),COUNTIF(_xlfn.ANCHORARRAY($K$2),TRUE)))</f>
        <v>17898000</v>
      </c>
      <c r="T101" s="2">
        <v>8840000</v>
      </c>
      <c r="U101" s="2">
        <f t="shared" ca="1" si="7"/>
        <v>26738000</v>
      </c>
      <c r="V101" s="2">
        <v>17680000</v>
      </c>
      <c r="W101" t="b">
        <f t="shared" ca="1" si="8"/>
        <v>0</v>
      </c>
      <c r="X101" t="b">
        <f t="shared" ca="1" si="9"/>
        <v>0</v>
      </c>
    </row>
    <row r="102" spans="7:24" x14ac:dyDescent="0.25">
      <c r="G102">
        <v>105</v>
      </c>
      <c r="H102" s="2">
        <v>105000000</v>
      </c>
      <c r="I102" s="2">
        <v>80075000</v>
      </c>
      <c r="J102" s="2">
        <f t="shared" si="5"/>
        <v>80075000</v>
      </c>
      <c r="K102" t="b" cm="1">
        <f t="array" ref="K102:Q102">TRANSPOSE(I102&gt;$C$1:$C$7)</f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>
        <f t="shared" si="6"/>
        <v>7</v>
      </c>
      <c r="S102" s="2" cm="1">
        <f t="array" aca="1" ref="S102" ca="1">MAX(0,J102*INDEX($B$1:$B$7,COUNTIF(_xlfn.ANCHORARRAY($K$2),TRUE))-INDEX(_xlfn.ANCHORARRAY($D$1),COUNTIF(_xlfn.ANCHORARRAY($K$2),TRUE)))</f>
        <v>18176250</v>
      </c>
      <c r="T102" s="2">
        <v>8925000</v>
      </c>
      <c r="U102" s="2">
        <f t="shared" ca="1" si="7"/>
        <v>27101250</v>
      </c>
      <c r="V102" s="2">
        <v>17850000</v>
      </c>
      <c r="W102" t="b">
        <f t="shared" ca="1" si="8"/>
        <v>0</v>
      </c>
      <c r="X102" t="b">
        <f t="shared" ca="1" si="9"/>
        <v>0</v>
      </c>
    </row>
    <row r="103" spans="7:24" x14ac:dyDescent="0.25">
      <c r="G103">
        <v>106</v>
      </c>
      <c r="H103" s="2">
        <v>106000000</v>
      </c>
      <c r="I103" s="2">
        <v>80990000</v>
      </c>
      <c r="J103" s="2">
        <f t="shared" si="5"/>
        <v>80990000</v>
      </c>
      <c r="K103" t="b" cm="1">
        <f t="array" ref="K103:Q103">TRANSPOSE(I103&gt;$C$1:$C$7)</f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>
        <f t="shared" si="6"/>
        <v>7</v>
      </c>
      <c r="S103" s="2" cm="1">
        <f t="array" aca="1" ref="S103" ca="1">MAX(0,J103*INDEX($B$1:$B$7,COUNTIF(_xlfn.ANCHORARRAY($K$2),TRUE))-INDEX(_xlfn.ANCHORARRAY($D$1),COUNTIF(_xlfn.ANCHORARRAY($K$2),TRUE)))</f>
        <v>18496500</v>
      </c>
      <c r="T103" s="2">
        <v>9010000</v>
      </c>
      <c r="U103" s="2">
        <f t="shared" ca="1" si="7"/>
        <v>27506500</v>
      </c>
      <c r="V103" s="2">
        <v>18020000</v>
      </c>
      <c r="W103" t="b">
        <f t="shared" ca="1" si="8"/>
        <v>0</v>
      </c>
      <c r="X103" t="b">
        <f t="shared" ca="1" si="9"/>
        <v>0</v>
      </c>
    </row>
    <row r="104" spans="7:24" x14ac:dyDescent="0.25">
      <c r="G104">
        <v>107</v>
      </c>
      <c r="H104" s="2">
        <v>107000000</v>
      </c>
      <c r="I104" s="2">
        <v>81905000</v>
      </c>
      <c r="J104" s="2">
        <f t="shared" si="5"/>
        <v>81905000</v>
      </c>
      <c r="K104" t="b" cm="1">
        <f t="array" ref="K104:Q104">TRANSPOSE(I104&gt;$C$1:$C$7)</f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>
        <f t="shared" si="6"/>
        <v>7</v>
      </c>
      <c r="S104" s="2" cm="1">
        <f t="array" aca="1" ref="S104" ca="1">MAX(0,J104*INDEX($B$1:$B$7,COUNTIF(_xlfn.ANCHORARRAY($K$2),TRUE))-INDEX(_xlfn.ANCHORARRAY($D$1),COUNTIF(_xlfn.ANCHORARRAY($K$2),TRUE)))</f>
        <v>18816750</v>
      </c>
      <c r="T104" s="2">
        <v>9095000</v>
      </c>
      <c r="U104" s="2">
        <f t="shared" ca="1" si="7"/>
        <v>27911750</v>
      </c>
      <c r="V104" s="2">
        <v>18190000</v>
      </c>
      <c r="W104" t="b">
        <f t="shared" ca="1" si="8"/>
        <v>0</v>
      </c>
      <c r="X104" t="b">
        <f t="shared" ca="1" si="9"/>
        <v>0</v>
      </c>
    </row>
    <row r="105" spans="7:24" x14ac:dyDescent="0.25">
      <c r="G105">
        <v>108</v>
      </c>
      <c r="H105" s="2">
        <v>108000000</v>
      </c>
      <c r="I105" s="2">
        <v>82820000</v>
      </c>
      <c r="J105" s="2">
        <f t="shared" si="5"/>
        <v>82820000</v>
      </c>
      <c r="K105" t="b" cm="1">
        <f t="array" ref="K105:Q105">TRANSPOSE(I105&gt;$C$1:$C$7)</f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b">
        <v>1</v>
      </c>
      <c r="R105">
        <f t="shared" si="6"/>
        <v>7</v>
      </c>
      <c r="S105" s="2" cm="1">
        <f t="array" aca="1" ref="S105" ca="1">MAX(0,J105*INDEX($B$1:$B$7,COUNTIF(_xlfn.ANCHORARRAY($K$2),TRUE))-INDEX(_xlfn.ANCHORARRAY($D$1),COUNTIF(_xlfn.ANCHORARRAY($K$2),TRUE)))</f>
        <v>19137000</v>
      </c>
      <c r="T105" s="2">
        <v>9180000</v>
      </c>
      <c r="U105" s="2">
        <f t="shared" ca="1" si="7"/>
        <v>28317000</v>
      </c>
      <c r="V105" s="2">
        <v>18360000</v>
      </c>
      <c r="W105" t="b">
        <f t="shared" ca="1" si="8"/>
        <v>0</v>
      </c>
      <c r="X105" t="b">
        <f t="shared" ca="1" si="9"/>
        <v>0</v>
      </c>
    </row>
    <row r="106" spans="7:24" x14ac:dyDescent="0.25">
      <c r="G106">
        <v>109</v>
      </c>
      <c r="H106" s="2">
        <v>109000000</v>
      </c>
      <c r="I106" s="2">
        <v>83735000</v>
      </c>
      <c r="J106" s="2">
        <f t="shared" si="5"/>
        <v>83735000</v>
      </c>
      <c r="K106" t="b" cm="1">
        <f t="array" ref="K106:Q106">TRANSPOSE(I106&gt;$C$1:$C$7)</f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b">
        <v>1</v>
      </c>
      <c r="R106">
        <f t="shared" si="6"/>
        <v>7</v>
      </c>
      <c r="S106" s="2" cm="1">
        <f t="array" aca="1" ref="S106" ca="1">MAX(0,J106*INDEX($B$1:$B$7,COUNTIF(_xlfn.ANCHORARRAY($K$2),TRUE))-INDEX(_xlfn.ANCHORARRAY($D$1),COUNTIF(_xlfn.ANCHORARRAY($K$2),TRUE)))</f>
        <v>19457250</v>
      </c>
      <c r="T106" s="2">
        <v>9265000</v>
      </c>
      <c r="U106" s="2">
        <f t="shared" ca="1" si="7"/>
        <v>28722250</v>
      </c>
      <c r="V106" s="2">
        <v>18530000</v>
      </c>
      <c r="W106" t="b">
        <f t="shared" ca="1" si="8"/>
        <v>0</v>
      </c>
      <c r="X106" t="b">
        <f t="shared" ca="1" si="9"/>
        <v>0</v>
      </c>
    </row>
    <row r="107" spans="7:24" x14ac:dyDescent="0.25">
      <c r="G107">
        <v>110</v>
      </c>
      <c r="H107" s="2">
        <v>110000000</v>
      </c>
      <c r="I107" s="2">
        <v>84650000</v>
      </c>
      <c r="J107" s="2">
        <f t="shared" si="5"/>
        <v>84650000</v>
      </c>
      <c r="K107" t="b" cm="1">
        <f t="array" ref="K107:Q107">TRANSPOSE(I107&gt;$C$1:$C$7)</f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>
        <f t="shared" si="6"/>
        <v>7</v>
      </c>
      <c r="S107" s="2" cm="1">
        <f t="array" aca="1" ref="S107" ca="1">MAX(0,J107*INDEX($B$1:$B$7,COUNTIF(_xlfn.ANCHORARRAY($K$2),TRUE))-INDEX(_xlfn.ANCHORARRAY($D$1),COUNTIF(_xlfn.ANCHORARRAY($K$2),TRUE)))</f>
        <v>19777499.999999996</v>
      </c>
      <c r="T107" s="2">
        <v>9350000</v>
      </c>
      <c r="U107" s="2">
        <f t="shared" ca="1" si="7"/>
        <v>29127499.999999996</v>
      </c>
      <c r="V107" s="2">
        <v>18700000</v>
      </c>
      <c r="W107" t="b">
        <f t="shared" ca="1" si="8"/>
        <v>0</v>
      </c>
      <c r="X107" t="b">
        <f t="shared" ca="1" si="9"/>
        <v>0</v>
      </c>
    </row>
    <row r="108" spans="7:24" x14ac:dyDescent="0.25">
      <c r="G108">
        <v>111</v>
      </c>
      <c r="H108" s="2">
        <v>111000000</v>
      </c>
      <c r="I108" s="2">
        <v>85565000</v>
      </c>
      <c r="J108" s="2">
        <f t="shared" si="5"/>
        <v>85565000</v>
      </c>
      <c r="K108" t="b" cm="1">
        <f t="array" ref="K108:Q108">TRANSPOSE(I108&gt;$C$1:$C$7)</f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1</v>
      </c>
      <c r="R108">
        <f t="shared" si="6"/>
        <v>7</v>
      </c>
      <c r="S108" s="2" cm="1">
        <f t="array" aca="1" ref="S108" ca="1">MAX(0,J108*INDEX($B$1:$B$7,COUNTIF(_xlfn.ANCHORARRAY($K$2),TRUE))-INDEX(_xlfn.ANCHORARRAY($D$1),COUNTIF(_xlfn.ANCHORARRAY($K$2),TRUE)))</f>
        <v>20097749.999999996</v>
      </c>
      <c r="T108" s="2">
        <v>9435000</v>
      </c>
      <c r="U108" s="2">
        <f t="shared" ca="1" si="7"/>
        <v>29532749.999999996</v>
      </c>
      <c r="V108" s="2">
        <v>18870000</v>
      </c>
      <c r="W108" t="b">
        <f t="shared" ca="1" si="8"/>
        <v>0</v>
      </c>
      <c r="X108" t="b">
        <f t="shared" ca="1" si="9"/>
        <v>0</v>
      </c>
    </row>
    <row r="109" spans="7:24" x14ac:dyDescent="0.25">
      <c r="G109">
        <v>112</v>
      </c>
      <c r="H109" s="2">
        <v>112000000</v>
      </c>
      <c r="I109" s="2">
        <v>86480000</v>
      </c>
      <c r="J109" s="2">
        <f t="shared" si="5"/>
        <v>86480000</v>
      </c>
      <c r="K109" t="b" cm="1">
        <f t="array" ref="K109:Q109">TRANSPOSE(I109&gt;$C$1:$C$7)</f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b">
        <v>1</v>
      </c>
      <c r="R109">
        <f t="shared" si="6"/>
        <v>7</v>
      </c>
      <c r="S109" s="2" cm="1">
        <f t="array" aca="1" ref="S109" ca="1">MAX(0,J109*INDEX($B$1:$B$7,COUNTIF(_xlfn.ANCHORARRAY($K$2),TRUE))-INDEX(_xlfn.ANCHORARRAY($D$1),COUNTIF(_xlfn.ANCHORARRAY($K$2),TRUE)))</f>
        <v>20417999.999999996</v>
      </c>
      <c r="T109" s="2">
        <v>9520000</v>
      </c>
      <c r="U109" s="2">
        <f t="shared" ca="1" si="7"/>
        <v>29937999.999999996</v>
      </c>
      <c r="V109" s="2">
        <v>19040000</v>
      </c>
      <c r="W109" t="b">
        <f t="shared" ca="1" si="8"/>
        <v>0</v>
      </c>
      <c r="X109" t="b">
        <f t="shared" ca="1" si="9"/>
        <v>0</v>
      </c>
    </row>
    <row r="110" spans="7:24" x14ac:dyDescent="0.25">
      <c r="G110">
        <v>113</v>
      </c>
      <c r="H110" s="2">
        <v>113000000</v>
      </c>
      <c r="I110" s="2">
        <v>87395000</v>
      </c>
      <c r="J110" s="2">
        <f t="shared" si="5"/>
        <v>87395000</v>
      </c>
      <c r="K110" t="b" cm="1">
        <f t="array" ref="K110:Q110">TRANSPOSE(I110&gt;$C$1:$C$7)</f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b">
        <v>1</v>
      </c>
      <c r="R110">
        <f t="shared" si="6"/>
        <v>7</v>
      </c>
      <c r="S110" s="2" cm="1">
        <f t="array" aca="1" ref="S110" ca="1">MAX(0,J110*INDEX($B$1:$B$7,COUNTIF(_xlfn.ANCHORARRAY($K$2),TRUE))-INDEX(_xlfn.ANCHORARRAY($D$1),COUNTIF(_xlfn.ANCHORARRAY($K$2),TRUE)))</f>
        <v>20738249.999999996</v>
      </c>
      <c r="T110" s="2">
        <v>9605000</v>
      </c>
      <c r="U110" s="2">
        <f t="shared" ca="1" si="7"/>
        <v>30343249.999999996</v>
      </c>
      <c r="V110" s="2">
        <v>19210000</v>
      </c>
      <c r="W110" t="b">
        <f t="shared" ca="1" si="8"/>
        <v>0</v>
      </c>
      <c r="X110" t="b">
        <f t="shared" ca="1" si="9"/>
        <v>0</v>
      </c>
    </row>
    <row r="111" spans="7:24" x14ac:dyDescent="0.25">
      <c r="G111">
        <v>114</v>
      </c>
      <c r="H111" s="2">
        <v>114000000</v>
      </c>
      <c r="I111" s="2">
        <v>88310000</v>
      </c>
      <c r="J111" s="2">
        <f t="shared" si="5"/>
        <v>88310000</v>
      </c>
      <c r="K111" t="b" cm="1">
        <f t="array" ref="K111:Q111">TRANSPOSE(I111&gt;$C$1:$C$7)</f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b">
        <v>1</v>
      </c>
      <c r="R111">
        <f t="shared" si="6"/>
        <v>7</v>
      </c>
      <c r="S111" s="2" cm="1">
        <f t="array" aca="1" ref="S111" ca="1">MAX(0,J111*INDEX($B$1:$B$7,COUNTIF(_xlfn.ANCHORARRAY($K$2),TRUE))-INDEX(_xlfn.ANCHORARRAY($D$1),COUNTIF(_xlfn.ANCHORARRAY($K$2),TRUE)))</f>
        <v>21058499.999999996</v>
      </c>
      <c r="T111" s="2">
        <v>9690000</v>
      </c>
      <c r="U111" s="2">
        <f t="shared" ca="1" si="7"/>
        <v>30748499.999999996</v>
      </c>
      <c r="V111" s="2">
        <v>19380000</v>
      </c>
      <c r="W111" t="b">
        <f t="shared" ca="1" si="8"/>
        <v>0</v>
      </c>
      <c r="X111" t="b">
        <f t="shared" ca="1" si="9"/>
        <v>0</v>
      </c>
    </row>
    <row r="112" spans="7:24" x14ac:dyDescent="0.25">
      <c r="G112">
        <v>115</v>
      </c>
      <c r="H112" s="2">
        <v>115000000</v>
      </c>
      <c r="I112" s="2">
        <v>89225000</v>
      </c>
      <c r="J112" s="2">
        <f t="shared" si="5"/>
        <v>89225000</v>
      </c>
      <c r="K112" t="b" cm="1">
        <f t="array" ref="K112:Q112">TRANSPOSE(I112&gt;$C$1:$C$7)</f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b">
        <v>1</v>
      </c>
      <c r="R112">
        <f t="shared" si="6"/>
        <v>7</v>
      </c>
      <c r="S112" s="2" cm="1">
        <f t="array" aca="1" ref="S112" ca="1">MAX(0,J112*INDEX($B$1:$B$7,COUNTIF(_xlfn.ANCHORARRAY($K$2),TRUE))-INDEX(_xlfn.ANCHORARRAY($D$1),COUNTIF(_xlfn.ANCHORARRAY($K$2),TRUE)))</f>
        <v>21378749.999999996</v>
      </c>
      <c r="T112" s="2">
        <v>9775000</v>
      </c>
      <c r="U112" s="2">
        <f t="shared" ca="1" si="7"/>
        <v>31153749.999999996</v>
      </c>
      <c r="V112" s="2">
        <v>19550000</v>
      </c>
      <c r="W112" t="b">
        <f t="shared" ca="1" si="8"/>
        <v>0</v>
      </c>
      <c r="X112" t="b">
        <f t="shared" ca="1" si="9"/>
        <v>0</v>
      </c>
    </row>
    <row r="113" spans="7:24" x14ac:dyDescent="0.25">
      <c r="G113">
        <v>116</v>
      </c>
      <c r="H113" s="2">
        <v>116000000</v>
      </c>
      <c r="I113" s="2">
        <v>90140000</v>
      </c>
      <c r="J113" s="2">
        <f t="shared" si="5"/>
        <v>90140000</v>
      </c>
      <c r="K113" t="b" cm="1">
        <f t="array" ref="K113:Q113">TRANSPOSE(I113&gt;$C$1:$C$7)</f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>
        <f t="shared" si="6"/>
        <v>7</v>
      </c>
      <c r="S113" s="2" cm="1">
        <f t="array" aca="1" ref="S113" ca="1">MAX(0,J113*INDEX($B$1:$B$7,COUNTIF(_xlfn.ANCHORARRAY($K$2),TRUE))-INDEX(_xlfn.ANCHORARRAY($D$1),COUNTIF(_xlfn.ANCHORARRAY($K$2),TRUE)))</f>
        <v>21698999.999999996</v>
      </c>
      <c r="T113" s="2">
        <v>9860000</v>
      </c>
      <c r="U113" s="2">
        <f t="shared" ca="1" si="7"/>
        <v>31558999.999999996</v>
      </c>
      <c r="V113" s="2">
        <v>19720000</v>
      </c>
      <c r="W113" t="b">
        <f t="shared" ca="1" si="8"/>
        <v>0</v>
      </c>
      <c r="X113" t="b">
        <f t="shared" ca="1" si="9"/>
        <v>0</v>
      </c>
    </row>
    <row r="114" spans="7:24" x14ac:dyDescent="0.25">
      <c r="G114">
        <v>117</v>
      </c>
      <c r="H114" s="2">
        <v>117000000</v>
      </c>
      <c r="I114" s="2">
        <v>91055000</v>
      </c>
      <c r="J114" s="2">
        <f t="shared" si="5"/>
        <v>91055000</v>
      </c>
      <c r="K114" t="b" cm="1">
        <f t="array" ref="K114:Q114">TRANSPOSE(I114&gt;$C$1:$C$7)</f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b">
        <v>1</v>
      </c>
      <c r="R114">
        <f t="shared" si="6"/>
        <v>7</v>
      </c>
      <c r="S114" s="2" cm="1">
        <f t="array" aca="1" ref="S114" ca="1">MAX(0,J114*INDEX($B$1:$B$7,COUNTIF(_xlfn.ANCHORARRAY($K$2),TRUE))-INDEX(_xlfn.ANCHORARRAY($D$1),COUNTIF(_xlfn.ANCHORARRAY($K$2),TRUE)))</f>
        <v>22019249.999999996</v>
      </c>
      <c r="T114" s="2">
        <v>9945000</v>
      </c>
      <c r="U114" s="2">
        <f t="shared" ca="1" si="7"/>
        <v>31964249.999999996</v>
      </c>
      <c r="V114" s="2">
        <v>19890000</v>
      </c>
      <c r="W114" t="b">
        <f t="shared" ca="1" si="8"/>
        <v>0</v>
      </c>
      <c r="X114" t="b">
        <f t="shared" ca="1" si="9"/>
        <v>0</v>
      </c>
    </row>
    <row r="115" spans="7:24" x14ac:dyDescent="0.25">
      <c r="G115">
        <v>118</v>
      </c>
      <c r="H115" s="2">
        <v>118000000</v>
      </c>
      <c r="I115" s="2">
        <v>91970000</v>
      </c>
      <c r="J115" s="2">
        <f t="shared" si="5"/>
        <v>91970000</v>
      </c>
      <c r="K115" t="b" cm="1">
        <f t="array" ref="K115:Q115">TRANSPOSE(I115&gt;$C$1:$C$7)</f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1</v>
      </c>
      <c r="R115">
        <f t="shared" si="6"/>
        <v>7</v>
      </c>
      <c r="S115" s="2" cm="1">
        <f t="array" aca="1" ref="S115" ca="1">MAX(0,J115*INDEX($B$1:$B$7,COUNTIF(_xlfn.ANCHORARRAY($K$2),TRUE))-INDEX(_xlfn.ANCHORARRAY($D$1),COUNTIF(_xlfn.ANCHORARRAY($K$2),TRUE)))</f>
        <v>22339499.999999996</v>
      </c>
      <c r="T115" s="2">
        <v>10030000</v>
      </c>
      <c r="U115" s="2">
        <f t="shared" ca="1" si="7"/>
        <v>32369499.999999996</v>
      </c>
      <c r="V115" s="2">
        <v>20060000</v>
      </c>
      <c r="W115" t="b">
        <f t="shared" ca="1" si="8"/>
        <v>0</v>
      </c>
      <c r="X115" t="b">
        <f t="shared" ca="1" si="9"/>
        <v>0</v>
      </c>
    </row>
    <row r="116" spans="7:24" x14ac:dyDescent="0.25">
      <c r="G116">
        <v>119</v>
      </c>
      <c r="H116" s="2">
        <v>119000000</v>
      </c>
      <c r="I116" s="2">
        <v>92885000</v>
      </c>
      <c r="J116" s="2">
        <f t="shared" si="5"/>
        <v>92885000</v>
      </c>
      <c r="K116" t="b" cm="1">
        <f t="array" ref="K116:Q116">TRANSPOSE(I116&gt;$C$1:$C$7)</f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b">
        <v>1</v>
      </c>
      <c r="R116">
        <f t="shared" si="6"/>
        <v>7</v>
      </c>
      <c r="S116" s="2" cm="1">
        <f t="array" aca="1" ref="S116" ca="1">MAX(0,J116*INDEX($B$1:$B$7,COUNTIF(_xlfn.ANCHORARRAY($K$2),TRUE))-INDEX(_xlfn.ANCHORARRAY($D$1),COUNTIF(_xlfn.ANCHORARRAY($K$2),TRUE)))</f>
        <v>22659749.999999996</v>
      </c>
      <c r="T116" s="2">
        <v>10115000</v>
      </c>
      <c r="U116" s="2">
        <f t="shared" ca="1" si="7"/>
        <v>32774749.999999996</v>
      </c>
      <c r="V116" s="2">
        <v>20230000</v>
      </c>
      <c r="W116" t="b">
        <f t="shared" ca="1" si="8"/>
        <v>0</v>
      </c>
      <c r="X116" t="b">
        <f t="shared" ca="1" si="9"/>
        <v>0</v>
      </c>
    </row>
    <row r="117" spans="7:24" x14ac:dyDescent="0.25">
      <c r="G117">
        <v>120</v>
      </c>
      <c r="H117" s="2">
        <v>120000000</v>
      </c>
      <c r="I117" s="2">
        <v>93800000</v>
      </c>
      <c r="J117" s="2">
        <f t="shared" si="5"/>
        <v>93800000</v>
      </c>
      <c r="K117" t="b" cm="1">
        <f t="array" ref="K117:Q117">TRANSPOSE(I117&gt;$C$1:$C$7)</f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b">
        <v>1</v>
      </c>
      <c r="R117">
        <f t="shared" si="6"/>
        <v>7</v>
      </c>
      <c r="S117" s="2" cm="1">
        <f t="array" aca="1" ref="S117" ca="1">MAX(0,J117*INDEX($B$1:$B$7,COUNTIF(_xlfn.ANCHORARRAY($K$2),TRUE))-INDEX(_xlfn.ANCHORARRAY($D$1),COUNTIF(_xlfn.ANCHORARRAY($K$2),TRUE)))</f>
        <v>22979999.999999996</v>
      </c>
      <c r="T117" s="2">
        <v>10200000</v>
      </c>
      <c r="U117" s="2">
        <f t="shared" ca="1" si="7"/>
        <v>33179999.999999996</v>
      </c>
      <c r="V117" s="2">
        <v>20400000</v>
      </c>
      <c r="W117" t="b">
        <f t="shared" ca="1" si="8"/>
        <v>0</v>
      </c>
      <c r="X117" t="b">
        <f t="shared" ca="1" si="9"/>
        <v>0</v>
      </c>
    </row>
    <row r="118" spans="7:24" x14ac:dyDescent="0.25">
      <c r="G118">
        <v>121</v>
      </c>
      <c r="H118" s="2">
        <v>121000000</v>
      </c>
      <c r="I118" s="2">
        <v>94715000</v>
      </c>
      <c r="J118" s="2">
        <f t="shared" si="5"/>
        <v>94715000</v>
      </c>
      <c r="K118" t="b" cm="1">
        <f t="array" ref="K118:Q118">TRANSPOSE(I118&gt;$C$1:$C$7)</f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1</v>
      </c>
      <c r="R118">
        <f t="shared" si="6"/>
        <v>7</v>
      </c>
      <c r="S118" s="2" cm="1">
        <f t="array" aca="1" ref="S118" ca="1">MAX(0,J118*INDEX($B$1:$B$7,COUNTIF(_xlfn.ANCHORARRAY($K$2),TRUE))-INDEX(_xlfn.ANCHORARRAY($D$1),COUNTIF(_xlfn.ANCHORARRAY($K$2),TRUE)))</f>
        <v>23300249.999999996</v>
      </c>
      <c r="T118" s="2">
        <v>10285000</v>
      </c>
      <c r="U118" s="2">
        <f t="shared" ca="1" si="7"/>
        <v>33585250</v>
      </c>
      <c r="V118" s="2">
        <v>20570000</v>
      </c>
      <c r="W118" t="b">
        <f t="shared" ca="1" si="8"/>
        <v>0</v>
      </c>
      <c r="X118" t="b">
        <f t="shared" ca="1" si="9"/>
        <v>0</v>
      </c>
    </row>
    <row r="119" spans="7:24" x14ac:dyDescent="0.25">
      <c r="G119">
        <v>122</v>
      </c>
      <c r="H119" s="2">
        <v>122000000</v>
      </c>
      <c r="I119" s="2">
        <v>95630000</v>
      </c>
      <c r="J119" s="2">
        <f t="shared" si="5"/>
        <v>95630000</v>
      </c>
      <c r="K119" t="b" cm="1">
        <f t="array" ref="K119:Q119">TRANSPOSE(I119&gt;$C$1:$C$7)</f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>
        <f t="shared" si="6"/>
        <v>7</v>
      </c>
      <c r="S119" s="2" cm="1">
        <f t="array" aca="1" ref="S119" ca="1">MAX(0,J119*INDEX($B$1:$B$7,COUNTIF(_xlfn.ANCHORARRAY($K$2),TRUE))-INDEX(_xlfn.ANCHORARRAY($D$1),COUNTIF(_xlfn.ANCHORARRAY($K$2),TRUE)))</f>
        <v>23620499.999999996</v>
      </c>
      <c r="T119" s="2">
        <v>10370000</v>
      </c>
      <c r="U119" s="2">
        <f t="shared" ca="1" si="7"/>
        <v>33990500</v>
      </c>
      <c r="V119" s="2">
        <v>20740000</v>
      </c>
      <c r="W119" t="b">
        <f t="shared" ca="1" si="8"/>
        <v>0</v>
      </c>
      <c r="X119" t="b">
        <f t="shared" ca="1" si="9"/>
        <v>0</v>
      </c>
    </row>
    <row r="120" spans="7:24" x14ac:dyDescent="0.25">
      <c r="G120">
        <v>123</v>
      </c>
      <c r="H120" s="2">
        <v>123000000</v>
      </c>
      <c r="I120" s="2">
        <v>96545000</v>
      </c>
      <c r="J120" s="2">
        <f t="shared" si="5"/>
        <v>96545000</v>
      </c>
      <c r="K120" t="b" cm="1">
        <f t="array" ref="K120:Q120">TRANSPOSE(I120&gt;$C$1:$C$7)</f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b">
        <v>1</v>
      </c>
      <c r="R120">
        <f t="shared" si="6"/>
        <v>7</v>
      </c>
      <c r="S120" s="2" cm="1">
        <f t="array" aca="1" ref="S120" ca="1">MAX(0,J120*INDEX($B$1:$B$7,COUNTIF(_xlfn.ANCHORARRAY($K$2),TRUE))-INDEX(_xlfn.ANCHORARRAY($D$1),COUNTIF(_xlfn.ANCHORARRAY($K$2),TRUE)))</f>
        <v>23940750</v>
      </c>
      <c r="T120" s="2">
        <v>10455000</v>
      </c>
      <c r="U120" s="2">
        <f t="shared" ca="1" si="7"/>
        <v>34395750</v>
      </c>
      <c r="V120" s="2">
        <v>20910000</v>
      </c>
      <c r="W120" t="b">
        <f t="shared" ca="1" si="8"/>
        <v>0</v>
      </c>
      <c r="X120" t="b">
        <f t="shared" ca="1" si="9"/>
        <v>0</v>
      </c>
    </row>
    <row r="121" spans="7:24" x14ac:dyDescent="0.25">
      <c r="G121">
        <v>124</v>
      </c>
      <c r="H121" s="2">
        <v>124000000</v>
      </c>
      <c r="I121" s="2">
        <v>97460000.000000015</v>
      </c>
      <c r="J121" s="2">
        <f t="shared" si="5"/>
        <v>97460000.000000015</v>
      </c>
      <c r="K121" t="b" cm="1">
        <f t="array" ref="K121:Q121">TRANSPOSE(I121&gt;$C$1:$C$7)</f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b">
        <v>1</v>
      </c>
      <c r="R121">
        <f t="shared" si="6"/>
        <v>7</v>
      </c>
      <c r="S121" s="2" cm="1">
        <f t="array" aca="1" ref="S121" ca="1">MAX(0,J121*INDEX($B$1:$B$7,COUNTIF(_xlfn.ANCHORARRAY($K$2),TRUE))-INDEX(_xlfn.ANCHORARRAY($D$1),COUNTIF(_xlfn.ANCHORARRAY($K$2),TRUE)))</f>
        <v>24261000</v>
      </c>
      <c r="T121" s="2">
        <v>10540000</v>
      </c>
      <c r="U121" s="2">
        <f t="shared" ca="1" si="7"/>
        <v>34801000</v>
      </c>
      <c r="V121" s="2">
        <v>21080000</v>
      </c>
      <c r="W121" t="b">
        <f t="shared" ca="1" si="8"/>
        <v>0</v>
      </c>
      <c r="X121" t="b">
        <f t="shared" ca="1" si="9"/>
        <v>0</v>
      </c>
    </row>
    <row r="122" spans="7:24" x14ac:dyDescent="0.25">
      <c r="G122">
        <v>125</v>
      </c>
      <c r="H122" s="2">
        <v>125000000</v>
      </c>
      <c r="I122" s="2">
        <v>98375000</v>
      </c>
      <c r="J122" s="2">
        <f t="shared" si="5"/>
        <v>98375000</v>
      </c>
      <c r="K122" t="b" cm="1">
        <f t="array" ref="K122:Q122">TRANSPOSE(I122&gt;$C$1:$C$7)</f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b">
        <v>1</v>
      </c>
      <c r="R122">
        <f t="shared" si="6"/>
        <v>7</v>
      </c>
      <c r="S122" s="2" cm="1">
        <f t="array" aca="1" ref="S122" ca="1">MAX(0,J122*INDEX($B$1:$B$7,COUNTIF(_xlfn.ANCHORARRAY($K$2),TRUE))-INDEX(_xlfn.ANCHORARRAY($D$1),COUNTIF(_xlfn.ANCHORARRAY($K$2),TRUE)))</f>
        <v>24581250</v>
      </c>
      <c r="T122" s="2">
        <v>10625000</v>
      </c>
      <c r="U122" s="2">
        <f t="shared" ca="1" si="7"/>
        <v>35206250</v>
      </c>
      <c r="V122" s="2">
        <v>21250000</v>
      </c>
      <c r="W122" t="b">
        <f t="shared" ca="1" si="8"/>
        <v>0</v>
      </c>
      <c r="X122" t="b">
        <f t="shared" ca="1" si="9"/>
        <v>0</v>
      </c>
    </row>
    <row r="123" spans="7:24" x14ac:dyDescent="0.25">
      <c r="G123">
        <v>126</v>
      </c>
      <c r="H123" s="2">
        <v>126000000</v>
      </c>
      <c r="I123" s="2">
        <v>99289999.999999985</v>
      </c>
      <c r="J123" s="2">
        <f t="shared" si="5"/>
        <v>99289999.999999985</v>
      </c>
      <c r="K123" t="b" cm="1">
        <f t="array" ref="K123:Q123">TRANSPOSE(I123&gt;$C$1:$C$7)</f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b">
        <v>1</v>
      </c>
      <c r="R123">
        <f t="shared" si="6"/>
        <v>7</v>
      </c>
      <c r="S123" s="2" cm="1">
        <f t="array" aca="1" ref="S123" ca="1">MAX(0,J123*INDEX($B$1:$B$7,COUNTIF(_xlfn.ANCHORARRAY($K$2),TRUE))-INDEX(_xlfn.ANCHORARRAY($D$1),COUNTIF(_xlfn.ANCHORARRAY($K$2),TRUE)))</f>
        <v>24901499.999999993</v>
      </c>
      <c r="T123" s="2">
        <v>10710000</v>
      </c>
      <c r="U123" s="2">
        <f t="shared" ca="1" si="7"/>
        <v>35611499.999999993</v>
      </c>
      <c r="V123" s="2">
        <v>21420000</v>
      </c>
      <c r="W123" t="b">
        <f t="shared" ca="1" si="8"/>
        <v>0</v>
      </c>
      <c r="X123" t="b">
        <f t="shared" ca="1" si="9"/>
        <v>0</v>
      </c>
    </row>
    <row r="124" spans="7:24" x14ac:dyDescent="0.25">
      <c r="G124">
        <v>127</v>
      </c>
      <c r="H124" s="2">
        <v>127000000</v>
      </c>
      <c r="I124" s="2">
        <v>100205000</v>
      </c>
      <c r="J124" s="2">
        <f t="shared" si="5"/>
        <v>100205000</v>
      </c>
      <c r="K124" t="b" cm="1">
        <f t="array" ref="K124:Q124">TRANSPOSE(I124&gt;$C$1:$C$7)</f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b">
        <v>1</v>
      </c>
      <c r="R124">
        <f t="shared" si="6"/>
        <v>7</v>
      </c>
      <c r="S124" s="2" cm="1">
        <f t="array" aca="1" ref="S124" ca="1">MAX(0,J124*INDEX($B$1:$B$7,COUNTIF(_xlfn.ANCHORARRAY($K$2),TRUE))-INDEX(_xlfn.ANCHORARRAY($D$1),COUNTIF(_xlfn.ANCHORARRAY($K$2),TRUE)))</f>
        <v>25221750</v>
      </c>
      <c r="T124" s="2">
        <v>10795000</v>
      </c>
      <c r="U124" s="2">
        <f t="shared" ca="1" si="7"/>
        <v>36016750</v>
      </c>
      <c r="V124" s="2">
        <v>21590000</v>
      </c>
      <c r="W124" t="b">
        <f t="shared" ca="1" si="8"/>
        <v>0</v>
      </c>
      <c r="X124" t="b">
        <f t="shared" ca="1" si="9"/>
        <v>0</v>
      </c>
    </row>
    <row r="125" spans="7:24" x14ac:dyDescent="0.25">
      <c r="G125">
        <v>128</v>
      </c>
      <c r="H125" s="2">
        <v>128000000</v>
      </c>
      <c r="I125" s="2">
        <v>101120000</v>
      </c>
      <c r="J125" s="2">
        <f t="shared" si="5"/>
        <v>101120000</v>
      </c>
      <c r="K125" t="b" cm="1">
        <f t="array" ref="K125:Q125">TRANSPOSE(I125&gt;$C$1:$C$7)</f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b">
        <v>1</v>
      </c>
      <c r="R125">
        <f t="shared" si="6"/>
        <v>7</v>
      </c>
      <c r="S125" s="2" cm="1">
        <f t="array" aca="1" ref="S125" ca="1">MAX(0,J125*INDEX($B$1:$B$7,COUNTIF(_xlfn.ANCHORARRAY($K$2),TRUE))-INDEX(_xlfn.ANCHORARRAY($D$1),COUNTIF(_xlfn.ANCHORARRAY($K$2),TRUE)))</f>
        <v>25542000</v>
      </c>
      <c r="T125" s="2">
        <v>10880000</v>
      </c>
      <c r="U125" s="2">
        <f t="shared" ca="1" si="7"/>
        <v>36422000</v>
      </c>
      <c r="V125" s="2">
        <v>21760000</v>
      </c>
      <c r="W125" t="b">
        <f t="shared" ca="1" si="8"/>
        <v>0</v>
      </c>
      <c r="X125" t="b">
        <f t="shared" ca="1" si="9"/>
        <v>0</v>
      </c>
    </row>
    <row r="126" spans="7:24" x14ac:dyDescent="0.25">
      <c r="G126">
        <v>129</v>
      </c>
      <c r="H126" s="2">
        <v>129000000</v>
      </c>
      <c r="I126" s="2">
        <v>102035000</v>
      </c>
      <c r="J126" s="2">
        <f t="shared" si="5"/>
        <v>102035000</v>
      </c>
      <c r="K126" t="b" cm="1">
        <f t="array" ref="K126:Q126">TRANSPOSE(I126&gt;$C$1:$C$7)</f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b">
        <v>1</v>
      </c>
      <c r="R126">
        <f t="shared" si="6"/>
        <v>7</v>
      </c>
      <c r="S126" s="2" cm="1">
        <f t="array" aca="1" ref="S126" ca="1">MAX(0,J126*INDEX($B$1:$B$7,COUNTIF(_xlfn.ANCHORARRAY($K$2),TRUE))-INDEX(_xlfn.ANCHORARRAY($D$1),COUNTIF(_xlfn.ANCHORARRAY($K$2),TRUE)))</f>
        <v>25862250</v>
      </c>
      <c r="T126" s="2">
        <v>10965000</v>
      </c>
      <c r="U126" s="2">
        <f t="shared" ca="1" si="7"/>
        <v>36827250</v>
      </c>
      <c r="V126" s="2">
        <v>21930000</v>
      </c>
      <c r="W126" t="b">
        <f t="shared" ca="1" si="8"/>
        <v>0</v>
      </c>
      <c r="X126" t="b">
        <f t="shared" ca="1" si="9"/>
        <v>0</v>
      </c>
    </row>
    <row r="127" spans="7:24" x14ac:dyDescent="0.25">
      <c r="G127">
        <v>130</v>
      </c>
      <c r="H127" s="2">
        <v>130000000</v>
      </c>
      <c r="I127" s="2">
        <v>102950000</v>
      </c>
      <c r="J127" s="2">
        <f t="shared" si="5"/>
        <v>102950000</v>
      </c>
      <c r="K127" t="b" cm="1">
        <f t="array" ref="K127:Q127">TRANSPOSE(I127&gt;$C$1:$C$7)</f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b">
        <v>1</v>
      </c>
      <c r="R127">
        <f t="shared" si="6"/>
        <v>7</v>
      </c>
      <c r="S127" s="2" cm="1">
        <f t="array" aca="1" ref="S127" ca="1">MAX(0,J127*INDEX($B$1:$B$7,COUNTIF(_xlfn.ANCHORARRAY($K$2),TRUE))-INDEX(_xlfn.ANCHORARRAY($D$1),COUNTIF(_xlfn.ANCHORARRAY($K$2),TRUE)))</f>
        <v>26182500</v>
      </c>
      <c r="T127" s="2">
        <v>11050000</v>
      </c>
      <c r="U127" s="2">
        <f t="shared" ca="1" si="7"/>
        <v>37232500</v>
      </c>
      <c r="V127" s="2">
        <v>22100000</v>
      </c>
      <c r="W127" t="b">
        <f t="shared" ca="1" si="8"/>
        <v>0</v>
      </c>
      <c r="X127" t="b">
        <f t="shared" ca="1" si="9"/>
        <v>0</v>
      </c>
    </row>
    <row r="128" spans="7:24" x14ac:dyDescent="0.25">
      <c r="G128">
        <v>131</v>
      </c>
      <c r="H128" s="2">
        <v>131000000</v>
      </c>
      <c r="I128" s="2">
        <v>103865000</v>
      </c>
      <c r="J128" s="2">
        <f t="shared" si="5"/>
        <v>103865000</v>
      </c>
      <c r="K128" t="b" cm="1">
        <f t="array" ref="K128:Q128">TRANSPOSE(I128&gt;$C$1:$C$7)</f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b">
        <v>1</v>
      </c>
      <c r="R128">
        <f t="shared" si="6"/>
        <v>7</v>
      </c>
      <c r="S128" s="2" cm="1">
        <f t="array" aca="1" ref="S128" ca="1">MAX(0,J128*INDEX($B$1:$B$7,COUNTIF(_xlfn.ANCHORARRAY($K$2),TRUE))-INDEX(_xlfn.ANCHORARRAY($D$1),COUNTIF(_xlfn.ANCHORARRAY($K$2),TRUE)))</f>
        <v>26502750</v>
      </c>
      <c r="T128" s="2">
        <v>11135000</v>
      </c>
      <c r="U128" s="2">
        <f t="shared" ca="1" si="7"/>
        <v>37637750</v>
      </c>
      <c r="V128" s="2">
        <v>22270000</v>
      </c>
      <c r="W128" t="b">
        <f t="shared" ca="1" si="8"/>
        <v>0</v>
      </c>
      <c r="X128" t="b">
        <f t="shared" ca="1" si="9"/>
        <v>0</v>
      </c>
    </row>
    <row r="129" spans="7:24" x14ac:dyDescent="0.25">
      <c r="G129">
        <v>132</v>
      </c>
      <c r="H129" s="2">
        <v>132000000</v>
      </c>
      <c r="I129" s="2">
        <v>104780000</v>
      </c>
      <c r="J129" s="2">
        <f t="shared" si="5"/>
        <v>104780000</v>
      </c>
      <c r="K129" t="b" cm="1">
        <f t="array" ref="K129:Q129">TRANSPOSE(I129&gt;$C$1:$C$7)</f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b">
        <v>1</v>
      </c>
      <c r="R129">
        <f t="shared" si="6"/>
        <v>7</v>
      </c>
      <c r="S129" s="2" cm="1">
        <f t="array" aca="1" ref="S129" ca="1">MAX(0,J129*INDEX($B$1:$B$7,COUNTIF(_xlfn.ANCHORARRAY($K$2),TRUE))-INDEX(_xlfn.ANCHORARRAY($D$1),COUNTIF(_xlfn.ANCHORARRAY($K$2),TRUE)))</f>
        <v>26823000</v>
      </c>
      <c r="T129" s="2">
        <v>11220000</v>
      </c>
      <c r="U129" s="2">
        <f t="shared" ca="1" si="7"/>
        <v>38043000</v>
      </c>
      <c r="V129" s="2">
        <v>22440000</v>
      </c>
      <c r="W129" t="b">
        <f t="shared" ca="1" si="8"/>
        <v>0</v>
      </c>
      <c r="X129" t="b">
        <f t="shared" ca="1" si="9"/>
        <v>0</v>
      </c>
    </row>
    <row r="130" spans="7:24" x14ac:dyDescent="0.25">
      <c r="G130">
        <v>133</v>
      </c>
      <c r="H130" s="2">
        <v>133000000</v>
      </c>
      <c r="I130" s="2">
        <v>105695000</v>
      </c>
      <c r="J130" s="2">
        <f t="shared" si="5"/>
        <v>105695000</v>
      </c>
      <c r="K130" t="b" cm="1">
        <f t="array" ref="K130:Q130">TRANSPOSE(I130&gt;$C$1:$C$7)</f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 t="b">
        <v>1</v>
      </c>
      <c r="R130">
        <f t="shared" si="6"/>
        <v>7</v>
      </c>
      <c r="S130" s="2" cm="1">
        <f t="array" aca="1" ref="S130" ca="1">MAX(0,J130*INDEX($B$1:$B$7,COUNTIF(_xlfn.ANCHORARRAY($K$2),TRUE))-INDEX(_xlfn.ANCHORARRAY($D$1),COUNTIF(_xlfn.ANCHORARRAY($K$2),TRUE)))</f>
        <v>27143250</v>
      </c>
      <c r="T130" s="2">
        <v>11305000</v>
      </c>
      <c r="U130" s="2">
        <f t="shared" ca="1" si="7"/>
        <v>38448250</v>
      </c>
      <c r="V130" s="2">
        <v>22610000</v>
      </c>
      <c r="W130" t="b">
        <f t="shared" ca="1" si="8"/>
        <v>0</v>
      </c>
      <c r="X130" t="b">
        <f t="shared" ca="1" si="9"/>
        <v>0</v>
      </c>
    </row>
    <row r="131" spans="7:24" x14ac:dyDescent="0.25">
      <c r="G131">
        <v>134</v>
      </c>
      <c r="H131" s="2">
        <v>134000000</v>
      </c>
      <c r="I131" s="2">
        <v>106610000</v>
      </c>
      <c r="J131" s="2">
        <f t="shared" ref="J131:J194" si="10">MAX(0,I131)</f>
        <v>106610000</v>
      </c>
      <c r="K131" t="b" cm="1">
        <f t="array" ref="K131:Q131">TRANSPOSE(I131&gt;$C$1:$C$7)</f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b">
        <v>1</v>
      </c>
      <c r="R131">
        <f t="shared" ref="R131:R194" si="11">COUNTIF(_xlfn.ANCHORARRAY(K131),TRUE)</f>
        <v>7</v>
      </c>
      <c r="S131" s="2" cm="1">
        <f t="array" aca="1" ref="S131" ca="1">MAX(0,J131*INDEX($B$1:$B$7,COUNTIF(_xlfn.ANCHORARRAY($K$2),TRUE))-INDEX(_xlfn.ANCHORARRAY($D$1),COUNTIF(_xlfn.ANCHORARRAY($K$2),TRUE)))</f>
        <v>27463500</v>
      </c>
      <c r="T131" s="2">
        <v>11390000</v>
      </c>
      <c r="U131" s="2">
        <f t="shared" ref="U131:U194" ca="1" si="12">SUM(S131:T131)</f>
        <v>38853500</v>
      </c>
      <c r="V131" s="2">
        <v>22780000</v>
      </c>
      <c r="W131" t="b">
        <f t="shared" ref="W131:W194" ca="1" si="13">U131&lt;V131</f>
        <v>0</v>
      </c>
      <c r="X131" t="b">
        <f t="shared" ref="X131:X194" ca="1" si="14">S131&lt;V131</f>
        <v>0</v>
      </c>
    </row>
    <row r="132" spans="7:24" x14ac:dyDescent="0.25">
      <c r="G132">
        <v>135</v>
      </c>
      <c r="H132" s="2">
        <v>135000000</v>
      </c>
      <c r="I132" s="2">
        <v>107525000</v>
      </c>
      <c r="J132" s="2">
        <f t="shared" si="10"/>
        <v>107525000</v>
      </c>
      <c r="K132" t="b" cm="1">
        <f t="array" ref="K132:Q132">TRANSPOSE(I132&gt;$C$1:$C$7)</f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b">
        <v>1</v>
      </c>
      <c r="R132">
        <f t="shared" si="11"/>
        <v>7</v>
      </c>
      <c r="S132" s="2" cm="1">
        <f t="array" aca="1" ref="S132" ca="1">MAX(0,J132*INDEX($B$1:$B$7,COUNTIF(_xlfn.ANCHORARRAY($K$2),TRUE))-INDEX(_xlfn.ANCHORARRAY($D$1),COUNTIF(_xlfn.ANCHORARRAY($K$2),TRUE)))</f>
        <v>27783750</v>
      </c>
      <c r="T132" s="2">
        <v>11475000</v>
      </c>
      <c r="U132" s="2">
        <f t="shared" ca="1" si="12"/>
        <v>39258750</v>
      </c>
      <c r="V132" s="2">
        <v>22950000</v>
      </c>
      <c r="W132" t="b">
        <f t="shared" ca="1" si="13"/>
        <v>0</v>
      </c>
      <c r="X132" t="b">
        <f t="shared" ca="1" si="14"/>
        <v>0</v>
      </c>
    </row>
    <row r="133" spans="7:24" x14ac:dyDescent="0.25">
      <c r="G133">
        <v>136</v>
      </c>
      <c r="H133" s="2">
        <v>136000000</v>
      </c>
      <c r="I133" s="2">
        <v>108440000</v>
      </c>
      <c r="J133" s="2">
        <f t="shared" si="10"/>
        <v>108440000</v>
      </c>
      <c r="K133" t="b" cm="1">
        <f t="array" ref="K133:Q133">TRANSPOSE(I133&gt;$C$1:$C$7)</f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 t="b">
        <v>1</v>
      </c>
      <c r="R133">
        <f t="shared" si="11"/>
        <v>7</v>
      </c>
      <c r="S133" s="2" cm="1">
        <f t="array" aca="1" ref="S133" ca="1">MAX(0,J133*INDEX($B$1:$B$7,COUNTIF(_xlfn.ANCHORARRAY($K$2),TRUE))-INDEX(_xlfn.ANCHORARRAY($D$1),COUNTIF(_xlfn.ANCHORARRAY($K$2),TRUE)))</f>
        <v>28104000</v>
      </c>
      <c r="T133" s="2">
        <v>11560000</v>
      </c>
      <c r="U133" s="2">
        <f t="shared" ca="1" si="12"/>
        <v>39664000</v>
      </c>
      <c r="V133" s="2">
        <v>23120000</v>
      </c>
      <c r="W133" t="b">
        <f t="shared" ca="1" si="13"/>
        <v>0</v>
      </c>
      <c r="X133" t="b">
        <f t="shared" ca="1" si="14"/>
        <v>0</v>
      </c>
    </row>
    <row r="134" spans="7:24" x14ac:dyDescent="0.25">
      <c r="G134">
        <v>137</v>
      </c>
      <c r="H134" s="2">
        <v>137000000</v>
      </c>
      <c r="I134" s="2">
        <v>109355000</v>
      </c>
      <c r="J134" s="2">
        <f t="shared" si="10"/>
        <v>109355000</v>
      </c>
      <c r="K134" t="b" cm="1">
        <f t="array" ref="K134:Q134">TRANSPOSE(I134&gt;$C$1:$C$7)</f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b">
        <v>1</v>
      </c>
      <c r="R134">
        <f t="shared" si="11"/>
        <v>7</v>
      </c>
      <c r="S134" s="2" cm="1">
        <f t="array" aca="1" ref="S134" ca="1">MAX(0,J134*INDEX($B$1:$B$7,COUNTIF(_xlfn.ANCHORARRAY($K$2),TRUE))-INDEX(_xlfn.ANCHORARRAY($D$1),COUNTIF(_xlfn.ANCHORARRAY($K$2),TRUE)))</f>
        <v>28424250</v>
      </c>
      <c r="T134" s="2">
        <v>11645000</v>
      </c>
      <c r="U134" s="2">
        <f t="shared" ca="1" si="12"/>
        <v>40069250</v>
      </c>
      <c r="V134" s="2">
        <v>23290000</v>
      </c>
      <c r="W134" t="b">
        <f t="shared" ca="1" si="13"/>
        <v>0</v>
      </c>
      <c r="X134" t="b">
        <f t="shared" ca="1" si="14"/>
        <v>0</v>
      </c>
    </row>
    <row r="135" spans="7:24" x14ac:dyDescent="0.25">
      <c r="G135">
        <v>138</v>
      </c>
      <c r="H135" s="2">
        <v>138000000</v>
      </c>
      <c r="I135" s="2">
        <v>110270000</v>
      </c>
      <c r="J135" s="2">
        <f t="shared" si="10"/>
        <v>110270000</v>
      </c>
      <c r="K135" t="b" cm="1">
        <f t="array" ref="K135:Q135">TRANSPOSE(I135&gt;$C$1:$C$7)</f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 t="b">
        <v>1</v>
      </c>
      <c r="R135">
        <f t="shared" si="11"/>
        <v>7</v>
      </c>
      <c r="S135" s="2" cm="1">
        <f t="array" aca="1" ref="S135" ca="1">MAX(0,J135*INDEX($B$1:$B$7,COUNTIF(_xlfn.ANCHORARRAY($K$2),TRUE))-INDEX(_xlfn.ANCHORARRAY($D$1),COUNTIF(_xlfn.ANCHORARRAY($K$2),TRUE)))</f>
        <v>28744500</v>
      </c>
      <c r="T135" s="2">
        <v>11730000</v>
      </c>
      <c r="U135" s="2">
        <f t="shared" ca="1" si="12"/>
        <v>40474500</v>
      </c>
      <c r="V135" s="2">
        <v>23460000</v>
      </c>
      <c r="W135" t="b">
        <f t="shared" ca="1" si="13"/>
        <v>0</v>
      </c>
      <c r="X135" t="b">
        <f t="shared" ca="1" si="14"/>
        <v>0</v>
      </c>
    </row>
    <row r="136" spans="7:24" x14ac:dyDescent="0.25">
      <c r="G136">
        <v>139</v>
      </c>
      <c r="H136" s="2">
        <v>139000000</v>
      </c>
      <c r="I136" s="2">
        <v>111185000</v>
      </c>
      <c r="J136" s="2">
        <f t="shared" si="10"/>
        <v>111185000</v>
      </c>
      <c r="K136" t="b" cm="1">
        <f t="array" ref="K136:Q136">TRANSPOSE(I136&gt;$C$1:$C$7)</f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 t="b">
        <v>1</v>
      </c>
      <c r="R136">
        <f t="shared" si="11"/>
        <v>7</v>
      </c>
      <c r="S136" s="2" cm="1">
        <f t="array" aca="1" ref="S136" ca="1">MAX(0,J136*INDEX($B$1:$B$7,COUNTIF(_xlfn.ANCHORARRAY($K$2),TRUE))-INDEX(_xlfn.ANCHORARRAY($D$1),COUNTIF(_xlfn.ANCHORARRAY($K$2),TRUE)))</f>
        <v>29064750</v>
      </c>
      <c r="T136" s="2">
        <v>11815000</v>
      </c>
      <c r="U136" s="2">
        <f t="shared" ca="1" si="12"/>
        <v>40879750</v>
      </c>
      <c r="V136" s="2">
        <v>23630000</v>
      </c>
      <c r="W136" t="b">
        <f t="shared" ca="1" si="13"/>
        <v>0</v>
      </c>
      <c r="X136" t="b">
        <f t="shared" ca="1" si="14"/>
        <v>0</v>
      </c>
    </row>
    <row r="137" spans="7:24" x14ac:dyDescent="0.25">
      <c r="G137">
        <v>140</v>
      </c>
      <c r="H137" s="2">
        <v>140000000</v>
      </c>
      <c r="I137" s="2">
        <v>112100000</v>
      </c>
      <c r="J137" s="2">
        <f t="shared" si="10"/>
        <v>112100000</v>
      </c>
      <c r="K137" t="b" cm="1">
        <f t="array" ref="K137:Q137">TRANSPOSE(I137&gt;$C$1:$C$7)</f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b">
        <v>1</v>
      </c>
      <c r="R137">
        <f t="shared" si="11"/>
        <v>7</v>
      </c>
      <c r="S137" s="2" cm="1">
        <f t="array" aca="1" ref="S137" ca="1">MAX(0,J137*INDEX($B$1:$B$7,COUNTIF(_xlfn.ANCHORARRAY($K$2),TRUE))-INDEX(_xlfn.ANCHORARRAY($D$1),COUNTIF(_xlfn.ANCHORARRAY($K$2),TRUE)))</f>
        <v>29385000</v>
      </c>
      <c r="T137" s="2">
        <v>11900000</v>
      </c>
      <c r="U137" s="2">
        <f t="shared" ca="1" si="12"/>
        <v>41285000</v>
      </c>
      <c r="V137" s="2">
        <v>23800000</v>
      </c>
      <c r="W137" t="b">
        <f t="shared" ca="1" si="13"/>
        <v>0</v>
      </c>
      <c r="X137" t="b">
        <f t="shared" ca="1" si="14"/>
        <v>0</v>
      </c>
    </row>
    <row r="138" spans="7:24" x14ac:dyDescent="0.25">
      <c r="G138">
        <v>141</v>
      </c>
      <c r="H138" s="2">
        <v>141000000</v>
      </c>
      <c r="I138" s="2">
        <v>113015000</v>
      </c>
      <c r="J138" s="2">
        <f t="shared" si="10"/>
        <v>113015000</v>
      </c>
      <c r="K138" t="b" cm="1">
        <f t="array" ref="K138:Q138">TRANSPOSE(I138&gt;$C$1:$C$7)</f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b">
        <v>1</v>
      </c>
      <c r="R138">
        <f t="shared" si="11"/>
        <v>7</v>
      </c>
      <c r="S138" s="2" cm="1">
        <f t="array" aca="1" ref="S138" ca="1">MAX(0,J138*INDEX($B$1:$B$7,COUNTIF(_xlfn.ANCHORARRAY($K$2),TRUE))-INDEX(_xlfn.ANCHORARRAY($D$1),COUNTIF(_xlfn.ANCHORARRAY($K$2),TRUE)))</f>
        <v>29705250</v>
      </c>
      <c r="T138" s="2">
        <v>11985000</v>
      </c>
      <c r="U138" s="2">
        <f t="shared" ca="1" si="12"/>
        <v>41690250</v>
      </c>
      <c r="V138" s="2">
        <v>23970000</v>
      </c>
      <c r="W138" t="b">
        <f t="shared" ca="1" si="13"/>
        <v>0</v>
      </c>
      <c r="X138" t="b">
        <f t="shared" ca="1" si="14"/>
        <v>0</v>
      </c>
    </row>
    <row r="139" spans="7:24" x14ac:dyDescent="0.25">
      <c r="G139">
        <v>142</v>
      </c>
      <c r="H139" s="2">
        <v>142000000</v>
      </c>
      <c r="I139" s="2">
        <v>113930000</v>
      </c>
      <c r="J139" s="2">
        <f t="shared" si="10"/>
        <v>113930000</v>
      </c>
      <c r="K139" t="b" cm="1">
        <f t="array" ref="K139:Q139">TRANSPOSE(I139&gt;$C$1:$C$7)</f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b">
        <v>1</v>
      </c>
      <c r="R139">
        <f t="shared" si="11"/>
        <v>7</v>
      </c>
      <c r="S139" s="2" cm="1">
        <f t="array" aca="1" ref="S139" ca="1">MAX(0,J139*INDEX($B$1:$B$7,COUNTIF(_xlfn.ANCHORARRAY($K$2),TRUE))-INDEX(_xlfn.ANCHORARRAY($D$1),COUNTIF(_xlfn.ANCHORARRAY($K$2),TRUE)))</f>
        <v>30025500</v>
      </c>
      <c r="T139" s="2">
        <v>12070000</v>
      </c>
      <c r="U139" s="2">
        <f t="shared" ca="1" si="12"/>
        <v>42095500</v>
      </c>
      <c r="V139" s="2">
        <v>24140000</v>
      </c>
      <c r="W139" t="b">
        <f t="shared" ca="1" si="13"/>
        <v>0</v>
      </c>
      <c r="X139" t="b">
        <f t="shared" ca="1" si="14"/>
        <v>0</v>
      </c>
    </row>
    <row r="140" spans="7:24" x14ac:dyDescent="0.25">
      <c r="G140">
        <v>143</v>
      </c>
      <c r="H140" s="2">
        <v>143000000</v>
      </c>
      <c r="I140" s="2">
        <v>114845000</v>
      </c>
      <c r="J140" s="2">
        <f t="shared" si="10"/>
        <v>114845000</v>
      </c>
      <c r="K140" t="b" cm="1">
        <f t="array" ref="K140:Q140">TRANSPOSE(I140&gt;$C$1:$C$7)</f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b">
        <v>1</v>
      </c>
      <c r="R140">
        <f t="shared" si="11"/>
        <v>7</v>
      </c>
      <c r="S140" s="2" cm="1">
        <f t="array" aca="1" ref="S140" ca="1">MAX(0,J140*INDEX($B$1:$B$7,COUNTIF(_xlfn.ANCHORARRAY($K$2),TRUE))-INDEX(_xlfn.ANCHORARRAY($D$1),COUNTIF(_xlfn.ANCHORARRAY($K$2),TRUE)))</f>
        <v>30345750</v>
      </c>
      <c r="T140" s="2">
        <v>12155000</v>
      </c>
      <c r="U140" s="2">
        <f t="shared" ca="1" si="12"/>
        <v>42500750</v>
      </c>
      <c r="V140" s="2">
        <v>24310000</v>
      </c>
      <c r="W140" t="b">
        <f t="shared" ca="1" si="13"/>
        <v>0</v>
      </c>
      <c r="X140" t="b">
        <f t="shared" ca="1" si="14"/>
        <v>0</v>
      </c>
    </row>
    <row r="141" spans="7:24" x14ac:dyDescent="0.25">
      <c r="G141">
        <v>144</v>
      </c>
      <c r="H141" s="2">
        <v>144000000</v>
      </c>
      <c r="I141" s="2">
        <v>115760000</v>
      </c>
      <c r="J141" s="2">
        <f t="shared" si="10"/>
        <v>115760000</v>
      </c>
      <c r="K141" t="b" cm="1">
        <f t="array" ref="K141:Q141">TRANSPOSE(I141&gt;$C$1:$C$7)</f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b">
        <v>1</v>
      </c>
      <c r="R141">
        <f t="shared" si="11"/>
        <v>7</v>
      </c>
      <c r="S141" s="2" cm="1">
        <f t="array" aca="1" ref="S141" ca="1">MAX(0,J141*INDEX($B$1:$B$7,COUNTIF(_xlfn.ANCHORARRAY($K$2),TRUE))-INDEX(_xlfn.ANCHORARRAY($D$1),COUNTIF(_xlfn.ANCHORARRAY($K$2),TRUE)))</f>
        <v>30666000</v>
      </c>
      <c r="T141" s="2">
        <v>12240000</v>
      </c>
      <c r="U141" s="2">
        <f t="shared" ca="1" si="12"/>
        <v>42906000</v>
      </c>
      <c r="V141" s="2">
        <v>24480000</v>
      </c>
      <c r="W141" t="b">
        <f t="shared" ca="1" si="13"/>
        <v>0</v>
      </c>
      <c r="X141" t="b">
        <f t="shared" ca="1" si="14"/>
        <v>0</v>
      </c>
    </row>
    <row r="142" spans="7:24" x14ac:dyDescent="0.25">
      <c r="G142">
        <v>145</v>
      </c>
      <c r="H142" s="2">
        <v>145000000</v>
      </c>
      <c r="I142" s="2">
        <v>116675000</v>
      </c>
      <c r="J142" s="2">
        <f t="shared" si="10"/>
        <v>116675000</v>
      </c>
      <c r="K142" t="b" cm="1">
        <f t="array" ref="K142:Q142">TRANSPOSE(I142&gt;$C$1:$C$7)</f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b">
        <v>1</v>
      </c>
      <c r="R142">
        <f t="shared" si="11"/>
        <v>7</v>
      </c>
      <c r="S142" s="2" cm="1">
        <f t="array" aca="1" ref="S142" ca="1">MAX(0,J142*INDEX($B$1:$B$7,COUNTIF(_xlfn.ANCHORARRAY($K$2),TRUE))-INDEX(_xlfn.ANCHORARRAY($D$1),COUNTIF(_xlfn.ANCHORARRAY($K$2),TRUE)))</f>
        <v>30986250</v>
      </c>
      <c r="T142" s="2">
        <v>12325000</v>
      </c>
      <c r="U142" s="2">
        <f t="shared" ca="1" si="12"/>
        <v>43311250</v>
      </c>
      <c r="V142" s="2">
        <v>24650000</v>
      </c>
      <c r="W142" t="b">
        <f t="shared" ca="1" si="13"/>
        <v>0</v>
      </c>
      <c r="X142" t="b">
        <f t="shared" ca="1" si="14"/>
        <v>0</v>
      </c>
    </row>
    <row r="143" spans="7:24" x14ac:dyDescent="0.25">
      <c r="G143">
        <v>146</v>
      </c>
      <c r="H143" s="2">
        <v>146000000</v>
      </c>
      <c r="I143" s="2">
        <v>117590000</v>
      </c>
      <c r="J143" s="2">
        <f t="shared" si="10"/>
        <v>117590000</v>
      </c>
      <c r="K143" t="b" cm="1">
        <f t="array" ref="K143:Q143">TRANSPOSE(I143&gt;$C$1:$C$7)</f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b">
        <v>1</v>
      </c>
      <c r="R143">
        <f t="shared" si="11"/>
        <v>7</v>
      </c>
      <c r="S143" s="2" cm="1">
        <f t="array" aca="1" ref="S143" ca="1">MAX(0,J143*INDEX($B$1:$B$7,COUNTIF(_xlfn.ANCHORARRAY($K$2),TRUE))-INDEX(_xlfn.ANCHORARRAY($D$1),COUNTIF(_xlfn.ANCHORARRAY($K$2),TRUE)))</f>
        <v>31306500</v>
      </c>
      <c r="T143" s="2">
        <v>12410000</v>
      </c>
      <c r="U143" s="2">
        <f t="shared" ca="1" si="12"/>
        <v>43716500</v>
      </c>
      <c r="V143" s="2">
        <v>24820000</v>
      </c>
      <c r="W143" t="b">
        <f t="shared" ca="1" si="13"/>
        <v>0</v>
      </c>
      <c r="X143" t="b">
        <f t="shared" ca="1" si="14"/>
        <v>0</v>
      </c>
    </row>
    <row r="144" spans="7:24" x14ac:dyDescent="0.25">
      <c r="G144">
        <v>147</v>
      </c>
      <c r="H144" s="2">
        <v>147000000</v>
      </c>
      <c r="I144" s="2">
        <v>118505000</v>
      </c>
      <c r="J144" s="2">
        <f t="shared" si="10"/>
        <v>118505000</v>
      </c>
      <c r="K144" t="b" cm="1">
        <f t="array" ref="K144:Q144">TRANSPOSE(I144&gt;$C$1:$C$7)</f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b">
        <v>1</v>
      </c>
      <c r="R144">
        <f t="shared" si="11"/>
        <v>7</v>
      </c>
      <c r="S144" s="2" cm="1">
        <f t="array" aca="1" ref="S144" ca="1">MAX(0,J144*INDEX($B$1:$B$7,COUNTIF(_xlfn.ANCHORARRAY($K$2),TRUE))-INDEX(_xlfn.ANCHORARRAY($D$1),COUNTIF(_xlfn.ANCHORARRAY($K$2),TRUE)))</f>
        <v>31626750</v>
      </c>
      <c r="T144" s="2">
        <v>12495000</v>
      </c>
      <c r="U144" s="2">
        <f t="shared" ca="1" si="12"/>
        <v>44121750</v>
      </c>
      <c r="V144" s="2">
        <v>24990000</v>
      </c>
      <c r="W144" t="b">
        <f t="shared" ca="1" si="13"/>
        <v>0</v>
      </c>
      <c r="X144" t="b">
        <f t="shared" ca="1" si="14"/>
        <v>0</v>
      </c>
    </row>
    <row r="145" spans="7:24" x14ac:dyDescent="0.25">
      <c r="G145">
        <v>148</v>
      </c>
      <c r="H145" s="2">
        <v>148000000</v>
      </c>
      <c r="I145" s="2">
        <v>119420000</v>
      </c>
      <c r="J145" s="2">
        <f t="shared" si="10"/>
        <v>119420000</v>
      </c>
      <c r="K145" t="b" cm="1">
        <f t="array" ref="K145:Q145">TRANSPOSE(I145&gt;$C$1:$C$7)</f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b">
        <v>1</v>
      </c>
      <c r="R145">
        <f t="shared" si="11"/>
        <v>7</v>
      </c>
      <c r="S145" s="2" cm="1">
        <f t="array" aca="1" ref="S145" ca="1">MAX(0,J145*INDEX($B$1:$B$7,COUNTIF(_xlfn.ANCHORARRAY($K$2),TRUE))-INDEX(_xlfn.ANCHORARRAY($D$1),COUNTIF(_xlfn.ANCHORARRAY($K$2),TRUE)))</f>
        <v>31947000</v>
      </c>
      <c r="T145" s="2">
        <v>12580000</v>
      </c>
      <c r="U145" s="2">
        <f t="shared" ca="1" si="12"/>
        <v>44527000</v>
      </c>
      <c r="V145" s="2">
        <v>25160000</v>
      </c>
      <c r="W145" t="b">
        <f t="shared" ca="1" si="13"/>
        <v>0</v>
      </c>
      <c r="X145" t="b">
        <f t="shared" ca="1" si="14"/>
        <v>0</v>
      </c>
    </row>
    <row r="146" spans="7:24" x14ac:dyDescent="0.25">
      <c r="G146">
        <v>149</v>
      </c>
      <c r="H146" s="2">
        <v>149000000</v>
      </c>
      <c r="I146" s="2">
        <v>120335000.00000001</v>
      </c>
      <c r="J146" s="2">
        <f t="shared" si="10"/>
        <v>120335000.00000001</v>
      </c>
      <c r="K146" t="b" cm="1">
        <f t="array" ref="K146:Q146">TRANSPOSE(I146&gt;$C$1:$C$7)</f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b">
        <v>1</v>
      </c>
      <c r="R146">
        <f t="shared" si="11"/>
        <v>7</v>
      </c>
      <c r="S146" s="2" cm="1">
        <f t="array" aca="1" ref="S146" ca="1">MAX(0,J146*INDEX($B$1:$B$7,COUNTIF(_xlfn.ANCHORARRAY($K$2),TRUE))-INDEX(_xlfn.ANCHORARRAY($D$1),COUNTIF(_xlfn.ANCHORARRAY($K$2),TRUE)))</f>
        <v>32267250</v>
      </c>
      <c r="T146" s="2">
        <v>12665000</v>
      </c>
      <c r="U146" s="2">
        <f t="shared" ca="1" si="12"/>
        <v>44932250</v>
      </c>
      <c r="V146" s="2">
        <v>25330000</v>
      </c>
      <c r="W146" t="b">
        <f t="shared" ca="1" si="13"/>
        <v>0</v>
      </c>
      <c r="X146" t="b">
        <f t="shared" ca="1" si="14"/>
        <v>0</v>
      </c>
    </row>
    <row r="147" spans="7:24" x14ac:dyDescent="0.25">
      <c r="G147">
        <v>150</v>
      </c>
      <c r="H147" s="2">
        <v>150000000</v>
      </c>
      <c r="I147" s="2">
        <v>121250000</v>
      </c>
      <c r="J147" s="2">
        <f t="shared" si="10"/>
        <v>121250000</v>
      </c>
      <c r="K147" t="b" cm="1">
        <f t="array" ref="K147:Q147">TRANSPOSE(I147&gt;$C$1:$C$7)</f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b">
        <v>1</v>
      </c>
      <c r="R147">
        <f t="shared" si="11"/>
        <v>7</v>
      </c>
      <c r="S147" s="2" cm="1">
        <f t="array" aca="1" ref="S147" ca="1">MAX(0,J147*INDEX($B$1:$B$7,COUNTIF(_xlfn.ANCHORARRAY($K$2),TRUE))-INDEX(_xlfn.ANCHORARRAY($D$1),COUNTIF(_xlfn.ANCHORARRAY($K$2),TRUE)))</f>
        <v>32587500</v>
      </c>
      <c r="T147" s="2">
        <v>12750000</v>
      </c>
      <c r="U147" s="2">
        <f t="shared" ca="1" si="12"/>
        <v>45337500</v>
      </c>
      <c r="V147" s="2">
        <v>25500000</v>
      </c>
      <c r="W147" t="b">
        <f t="shared" ca="1" si="13"/>
        <v>0</v>
      </c>
      <c r="X147" t="b">
        <f t="shared" ca="1" si="14"/>
        <v>0</v>
      </c>
    </row>
    <row r="148" spans="7:24" x14ac:dyDescent="0.25">
      <c r="G148">
        <v>151</v>
      </c>
      <c r="H148" s="2">
        <v>151000000</v>
      </c>
      <c r="I148" s="2">
        <v>122164999.99999999</v>
      </c>
      <c r="J148" s="2">
        <f t="shared" si="10"/>
        <v>122164999.99999999</v>
      </c>
      <c r="K148" t="b" cm="1">
        <f t="array" ref="K148:Q148">TRANSPOSE(I148&gt;$C$1:$C$7)</f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b">
        <v>1</v>
      </c>
      <c r="R148">
        <f t="shared" si="11"/>
        <v>7</v>
      </c>
      <c r="S148" s="2" cm="1">
        <f t="array" aca="1" ref="S148" ca="1">MAX(0,J148*INDEX($B$1:$B$7,COUNTIF(_xlfn.ANCHORARRAY($K$2),TRUE))-INDEX(_xlfn.ANCHORARRAY($D$1),COUNTIF(_xlfn.ANCHORARRAY($K$2),TRUE)))</f>
        <v>32907749.999999993</v>
      </c>
      <c r="T148" s="2">
        <v>12835000</v>
      </c>
      <c r="U148" s="2">
        <f t="shared" ca="1" si="12"/>
        <v>45742749.999999993</v>
      </c>
      <c r="V148" s="2">
        <v>25670000</v>
      </c>
      <c r="W148" t="b">
        <f t="shared" ca="1" si="13"/>
        <v>0</v>
      </c>
      <c r="X148" t="b">
        <f t="shared" ca="1" si="14"/>
        <v>0</v>
      </c>
    </row>
    <row r="149" spans="7:24" x14ac:dyDescent="0.25">
      <c r="G149">
        <v>152</v>
      </c>
      <c r="H149" s="2">
        <v>152000000</v>
      </c>
      <c r="I149" s="2">
        <v>123080000</v>
      </c>
      <c r="J149" s="2">
        <f t="shared" si="10"/>
        <v>123080000</v>
      </c>
      <c r="K149" t="b" cm="1">
        <f t="array" ref="K149:Q149">TRANSPOSE(I149&gt;$C$1:$C$7)</f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b">
        <v>1</v>
      </c>
      <c r="R149">
        <f t="shared" si="11"/>
        <v>7</v>
      </c>
      <c r="S149" s="2" cm="1">
        <f t="array" aca="1" ref="S149" ca="1">MAX(0,J149*INDEX($B$1:$B$7,COUNTIF(_xlfn.ANCHORARRAY($K$2),TRUE))-INDEX(_xlfn.ANCHORARRAY($D$1),COUNTIF(_xlfn.ANCHORARRAY($K$2),TRUE)))</f>
        <v>33228000</v>
      </c>
      <c r="T149" s="2">
        <v>12920000</v>
      </c>
      <c r="U149" s="2">
        <f t="shared" ca="1" si="12"/>
        <v>46148000</v>
      </c>
      <c r="V149" s="2">
        <v>25840000</v>
      </c>
      <c r="W149" t="b">
        <f t="shared" ca="1" si="13"/>
        <v>0</v>
      </c>
      <c r="X149" t="b">
        <f t="shared" ca="1" si="14"/>
        <v>0</v>
      </c>
    </row>
    <row r="150" spans="7:24" x14ac:dyDescent="0.25">
      <c r="G150">
        <v>153</v>
      </c>
      <c r="H150" s="2">
        <v>153000000</v>
      </c>
      <c r="I150" s="2">
        <v>123995000</v>
      </c>
      <c r="J150" s="2">
        <f t="shared" si="10"/>
        <v>123995000</v>
      </c>
      <c r="K150" t="b" cm="1">
        <f t="array" ref="K150:Q150">TRANSPOSE(I150&gt;$C$1:$C$7)</f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b">
        <v>1</v>
      </c>
      <c r="R150">
        <f t="shared" si="11"/>
        <v>7</v>
      </c>
      <c r="S150" s="2" cm="1">
        <f t="array" aca="1" ref="S150" ca="1">MAX(0,J150*INDEX($B$1:$B$7,COUNTIF(_xlfn.ANCHORARRAY($K$2),TRUE))-INDEX(_xlfn.ANCHORARRAY($D$1),COUNTIF(_xlfn.ANCHORARRAY($K$2),TRUE)))</f>
        <v>33548250</v>
      </c>
      <c r="T150" s="2">
        <v>13005000</v>
      </c>
      <c r="U150" s="2">
        <f t="shared" ca="1" si="12"/>
        <v>46553250</v>
      </c>
      <c r="V150" s="2">
        <v>26010000</v>
      </c>
      <c r="W150" t="b">
        <f t="shared" ca="1" si="13"/>
        <v>0</v>
      </c>
      <c r="X150" t="b">
        <f t="shared" ca="1" si="14"/>
        <v>0</v>
      </c>
    </row>
    <row r="151" spans="7:24" x14ac:dyDescent="0.25">
      <c r="G151">
        <v>154</v>
      </c>
      <c r="H151" s="2">
        <v>154000000</v>
      </c>
      <c r="I151" s="2">
        <v>124910000</v>
      </c>
      <c r="J151" s="2">
        <f t="shared" si="10"/>
        <v>124910000</v>
      </c>
      <c r="K151" t="b" cm="1">
        <f t="array" ref="K151:Q151">TRANSPOSE(I151&gt;$C$1:$C$7)</f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 t="b">
        <v>1</v>
      </c>
      <c r="R151">
        <f t="shared" si="11"/>
        <v>7</v>
      </c>
      <c r="S151" s="2" cm="1">
        <f t="array" aca="1" ref="S151" ca="1">MAX(0,J151*INDEX($B$1:$B$7,COUNTIF(_xlfn.ANCHORARRAY($K$2),TRUE))-INDEX(_xlfn.ANCHORARRAY($D$1),COUNTIF(_xlfn.ANCHORARRAY($K$2),TRUE)))</f>
        <v>33868500</v>
      </c>
      <c r="T151" s="2">
        <v>13090000</v>
      </c>
      <c r="U151" s="2">
        <f t="shared" ca="1" si="12"/>
        <v>46958500</v>
      </c>
      <c r="V151" s="2">
        <v>26180000</v>
      </c>
      <c r="W151" t="b">
        <f t="shared" ca="1" si="13"/>
        <v>0</v>
      </c>
      <c r="X151" t="b">
        <f t="shared" ca="1" si="14"/>
        <v>0</v>
      </c>
    </row>
    <row r="152" spans="7:24" x14ac:dyDescent="0.25">
      <c r="G152">
        <v>155</v>
      </c>
      <c r="H152" s="2">
        <v>155000000</v>
      </c>
      <c r="I152" s="2">
        <v>125825000</v>
      </c>
      <c r="J152" s="2">
        <f t="shared" si="10"/>
        <v>125825000</v>
      </c>
      <c r="K152" t="b" cm="1">
        <f t="array" ref="K152:Q152">TRANSPOSE(I152&gt;$C$1:$C$7)</f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b">
        <v>1</v>
      </c>
      <c r="R152">
        <f t="shared" si="11"/>
        <v>7</v>
      </c>
      <c r="S152" s="2" cm="1">
        <f t="array" aca="1" ref="S152" ca="1">MAX(0,J152*INDEX($B$1:$B$7,COUNTIF(_xlfn.ANCHORARRAY($K$2),TRUE))-INDEX(_xlfn.ANCHORARRAY($D$1),COUNTIF(_xlfn.ANCHORARRAY($K$2),TRUE)))</f>
        <v>34188750</v>
      </c>
      <c r="T152" s="2">
        <v>13175000</v>
      </c>
      <c r="U152" s="2">
        <f t="shared" ca="1" si="12"/>
        <v>47363750</v>
      </c>
      <c r="V152" s="2">
        <v>26350000</v>
      </c>
      <c r="W152" t="b">
        <f t="shared" ca="1" si="13"/>
        <v>0</v>
      </c>
      <c r="X152" t="b">
        <f t="shared" ca="1" si="14"/>
        <v>0</v>
      </c>
    </row>
    <row r="153" spans="7:24" x14ac:dyDescent="0.25">
      <c r="G153">
        <v>156</v>
      </c>
      <c r="H153" s="2">
        <v>156000000</v>
      </c>
      <c r="I153" s="2">
        <v>126740000</v>
      </c>
      <c r="J153" s="2">
        <f t="shared" si="10"/>
        <v>126740000</v>
      </c>
      <c r="K153" t="b" cm="1">
        <f t="array" ref="K153:Q153">TRANSPOSE(I153&gt;$C$1:$C$7)</f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b">
        <v>1</v>
      </c>
      <c r="R153">
        <f t="shared" si="11"/>
        <v>7</v>
      </c>
      <c r="S153" s="2" cm="1">
        <f t="array" aca="1" ref="S153" ca="1">MAX(0,J153*INDEX($B$1:$B$7,COUNTIF(_xlfn.ANCHORARRAY($K$2),TRUE))-INDEX(_xlfn.ANCHORARRAY($D$1),COUNTIF(_xlfn.ANCHORARRAY($K$2),TRUE)))</f>
        <v>34509000</v>
      </c>
      <c r="T153" s="2">
        <v>13260000</v>
      </c>
      <c r="U153" s="2">
        <f t="shared" ca="1" si="12"/>
        <v>47769000</v>
      </c>
      <c r="V153" s="2">
        <v>26520000</v>
      </c>
      <c r="W153" t="b">
        <f t="shared" ca="1" si="13"/>
        <v>0</v>
      </c>
      <c r="X153" t="b">
        <f t="shared" ca="1" si="14"/>
        <v>0</v>
      </c>
    </row>
    <row r="154" spans="7:24" x14ac:dyDescent="0.25">
      <c r="G154">
        <v>157</v>
      </c>
      <c r="H154" s="2">
        <v>157000000</v>
      </c>
      <c r="I154" s="2">
        <v>127655000</v>
      </c>
      <c r="J154" s="2">
        <f t="shared" si="10"/>
        <v>127655000</v>
      </c>
      <c r="K154" t="b" cm="1">
        <f t="array" ref="K154:Q154">TRANSPOSE(I154&gt;$C$1:$C$7)</f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b">
        <v>1</v>
      </c>
      <c r="R154">
        <f t="shared" si="11"/>
        <v>7</v>
      </c>
      <c r="S154" s="2" cm="1">
        <f t="array" aca="1" ref="S154" ca="1">MAX(0,J154*INDEX($B$1:$B$7,COUNTIF(_xlfn.ANCHORARRAY($K$2),TRUE))-INDEX(_xlfn.ANCHORARRAY($D$1),COUNTIF(_xlfn.ANCHORARRAY($K$2),TRUE)))</f>
        <v>34829250</v>
      </c>
      <c r="T154" s="2">
        <v>13345000</v>
      </c>
      <c r="U154" s="2">
        <f t="shared" ca="1" si="12"/>
        <v>48174250</v>
      </c>
      <c r="V154" s="2">
        <v>26690000</v>
      </c>
      <c r="W154" t="b">
        <f t="shared" ca="1" si="13"/>
        <v>0</v>
      </c>
      <c r="X154" t="b">
        <f t="shared" ca="1" si="14"/>
        <v>0</v>
      </c>
    </row>
    <row r="155" spans="7:24" x14ac:dyDescent="0.25">
      <c r="G155">
        <v>158</v>
      </c>
      <c r="H155" s="2">
        <v>158000000</v>
      </c>
      <c r="I155" s="2">
        <v>128570000</v>
      </c>
      <c r="J155" s="2">
        <f t="shared" si="10"/>
        <v>128570000</v>
      </c>
      <c r="K155" t="b" cm="1">
        <f t="array" ref="K155:Q155">TRANSPOSE(I155&gt;$C$1:$C$7)</f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b">
        <v>1</v>
      </c>
      <c r="R155">
        <f t="shared" si="11"/>
        <v>7</v>
      </c>
      <c r="S155" s="2" cm="1">
        <f t="array" aca="1" ref="S155" ca="1">MAX(0,J155*INDEX($B$1:$B$7,COUNTIF(_xlfn.ANCHORARRAY($K$2),TRUE))-INDEX(_xlfn.ANCHORARRAY($D$1),COUNTIF(_xlfn.ANCHORARRAY($K$2),TRUE)))</f>
        <v>35149500</v>
      </c>
      <c r="T155" s="2">
        <v>13430000</v>
      </c>
      <c r="U155" s="2">
        <f t="shared" ca="1" si="12"/>
        <v>48579500</v>
      </c>
      <c r="V155" s="2">
        <v>26860000</v>
      </c>
      <c r="W155" t="b">
        <f t="shared" ca="1" si="13"/>
        <v>0</v>
      </c>
      <c r="X155" t="b">
        <f t="shared" ca="1" si="14"/>
        <v>0</v>
      </c>
    </row>
    <row r="156" spans="7:24" x14ac:dyDescent="0.25">
      <c r="G156">
        <v>159</v>
      </c>
      <c r="H156" s="2">
        <v>159000000</v>
      </c>
      <c r="I156" s="2">
        <v>129485000.00000001</v>
      </c>
      <c r="J156" s="2">
        <f t="shared" si="10"/>
        <v>129485000.00000001</v>
      </c>
      <c r="K156" t="b" cm="1">
        <f t="array" ref="K156:Q156">TRANSPOSE(I156&gt;$C$1:$C$7)</f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b">
        <v>1</v>
      </c>
      <c r="R156">
        <f t="shared" si="11"/>
        <v>7</v>
      </c>
      <c r="S156" s="2" cm="1">
        <f t="array" aca="1" ref="S156" ca="1">MAX(0,J156*INDEX($B$1:$B$7,COUNTIF(_xlfn.ANCHORARRAY($K$2),TRUE))-INDEX(_xlfn.ANCHORARRAY($D$1),COUNTIF(_xlfn.ANCHORARRAY($K$2),TRUE)))</f>
        <v>35469750</v>
      </c>
      <c r="T156" s="2">
        <v>13515000</v>
      </c>
      <c r="U156" s="2">
        <f t="shared" ca="1" si="12"/>
        <v>48984750</v>
      </c>
      <c r="V156" s="2">
        <v>27030000</v>
      </c>
      <c r="W156" t="b">
        <f t="shared" ca="1" si="13"/>
        <v>0</v>
      </c>
      <c r="X156" t="b">
        <f t="shared" ca="1" si="14"/>
        <v>0</v>
      </c>
    </row>
    <row r="157" spans="7:24" x14ac:dyDescent="0.25">
      <c r="G157">
        <v>160</v>
      </c>
      <c r="H157" s="2">
        <v>160000000</v>
      </c>
      <c r="I157" s="2">
        <v>130400000</v>
      </c>
      <c r="J157" s="2">
        <f t="shared" si="10"/>
        <v>130400000</v>
      </c>
      <c r="K157" t="b" cm="1">
        <f t="array" ref="K157:Q157">TRANSPOSE(I157&gt;$C$1:$C$7)</f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 t="b">
        <v>1</v>
      </c>
      <c r="R157">
        <f t="shared" si="11"/>
        <v>7</v>
      </c>
      <c r="S157" s="2" cm="1">
        <f t="array" aca="1" ref="S157" ca="1">MAX(0,J157*INDEX($B$1:$B$7,COUNTIF(_xlfn.ANCHORARRAY($K$2),TRUE))-INDEX(_xlfn.ANCHORARRAY($D$1),COUNTIF(_xlfn.ANCHORARRAY($K$2),TRUE)))</f>
        <v>35790000</v>
      </c>
      <c r="T157" s="2">
        <v>13600000</v>
      </c>
      <c r="U157" s="2">
        <f t="shared" ca="1" si="12"/>
        <v>49390000</v>
      </c>
      <c r="V157" s="2">
        <v>27200000</v>
      </c>
      <c r="W157" t="b">
        <f t="shared" ca="1" si="13"/>
        <v>0</v>
      </c>
      <c r="X157" t="b">
        <f t="shared" ca="1" si="14"/>
        <v>0</v>
      </c>
    </row>
    <row r="158" spans="7:24" x14ac:dyDescent="0.25">
      <c r="G158">
        <v>161</v>
      </c>
      <c r="H158" s="2">
        <v>161000000</v>
      </c>
      <c r="I158" s="2">
        <v>131315000</v>
      </c>
      <c r="J158" s="2">
        <f t="shared" si="10"/>
        <v>131315000</v>
      </c>
      <c r="K158" t="b" cm="1">
        <f t="array" ref="K158:Q158">TRANSPOSE(I158&gt;$C$1:$C$7)</f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b">
        <v>1</v>
      </c>
      <c r="R158">
        <f t="shared" si="11"/>
        <v>7</v>
      </c>
      <c r="S158" s="2" cm="1">
        <f t="array" aca="1" ref="S158" ca="1">MAX(0,J158*INDEX($B$1:$B$7,COUNTIF(_xlfn.ANCHORARRAY($K$2),TRUE))-INDEX(_xlfn.ANCHORARRAY($D$1),COUNTIF(_xlfn.ANCHORARRAY($K$2),TRUE)))</f>
        <v>36110250</v>
      </c>
      <c r="T158" s="2">
        <v>13685000</v>
      </c>
      <c r="U158" s="2">
        <f t="shared" ca="1" si="12"/>
        <v>49795250</v>
      </c>
      <c r="V158" s="2">
        <v>27370000</v>
      </c>
      <c r="W158" t="b">
        <f t="shared" ca="1" si="13"/>
        <v>0</v>
      </c>
      <c r="X158" t="b">
        <f t="shared" ca="1" si="14"/>
        <v>0</v>
      </c>
    </row>
    <row r="159" spans="7:24" x14ac:dyDescent="0.25">
      <c r="G159">
        <v>162</v>
      </c>
      <c r="H159" s="2">
        <v>162000000</v>
      </c>
      <c r="I159" s="2">
        <v>132229999.99999999</v>
      </c>
      <c r="J159" s="2">
        <f t="shared" si="10"/>
        <v>132229999.99999999</v>
      </c>
      <c r="K159" t="b" cm="1">
        <f t="array" ref="K159:Q159">TRANSPOSE(I159&gt;$C$1:$C$7)</f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b">
        <v>1</v>
      </c>
      <c r="R159">
        <f t="shared" si="11"/>
        <v>7</v>
      </c>
      <c r="S159" s="2" cm="1">
        <f t="array" aca="1" ref="S159" ca="1">MAX(0,J159*INDEX($B$1:$B$7,COUNTIF(_xlfn.ANCHORARRAY($K$2),TRUE))-INDEX(_xlfn.ANCHORARRAY($D$1),COUNTIF(_xlfn.ANCHORARRAY($K$2),TRUE)))</f>
        <v>36430499.999999993</v>
      </c>
      <c r="T159" s="2">
        <v>13770000</v>
      </c>
      <c r="U159" s="2">
        <f t="shared" ca="1" si="12"/>
        <v>50200499.999999993</v>
      </c>
      <c r="V159" s="2">
        <v>27540000</v>
      </c>
      <c r="W159" t="b">
        <f t="shared" ca="1" si="13"/>
        <v>0</v>
      </c>
      <c r="X159" t="b">
        <f t="shared" ca="1" si="14"/>
        <v>0</v>
      </c>
    </row>
    <row r="160" spans="7:24" x14ac:dyDescent="0.25">
      <c r="G160">
        <v>163</v>
      </c>
      <c r="H160" s="2">
        <v>163000000</v>
      </c>
      <c r="I160" s="2">
        <v>133145000.00000001</v>
      </c>
      <c r="J160" s="2">
        <f t="shared" si="10"/>
        <v>133145000.00000001</v>
      </c>
      <c r="K160" t="b" cm="1">
        <f t="array" ref="K160:Q160">TRANSPOSE(I160&gt;$C$1:$C$7)</f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 t="b">
        <v>1</v>
      </c>
      <c r="R160">
        <f t="shared" si="11"/>
        <v>7</v>
      </c>
      <c r="S160" s="2" cm="1">
        <f t="array" aca="1" ref="S160" ca="1">MAX(0,J160*INDEX($B$1:$B$7,COUNTIF(_xlfn.ANCHORARRAY($K$2),TRUE))-INDEX(_xlfn.ANCHORARRAY($D$1),COUNTIF(_xlfn.ANCHORARRAY($K$2),TRUE)))</f>
        <v>36750750</v>
      </c>
      <c r="T160" s="2">
        <v>13855000</v>
      </c>
      <c r="U160" s="2">
        <f t="shared" ca="1" si="12"/>
        <v>50605750</v>
      </c>
      <c r="V160" s="2">
        <v>27710000</v>
      </c>
      <c r="W160" t="b">
        <f t="shared" ca="1" si="13"/>
        <v>0</v>
      </c>
      <c r="X160" t="b">
        <f t="shared" ca="1" si="14"/>
        <v>0</v>
      </c>
    </row>
    <row r="161" spans="7:24" x14ac:dyDescent="0.25">
      <c r="G161">
        <v>164</v>
      </c>
      <c r="H161" s="2">
        <v>164000000</v>
      </c>
      <c r="I161" s="2">
        <v>134060000</v>
      </c>
      <c r="J161" s="2">
        <f t="shared" si="10"/>
        <v>134060000</v>
      </c>
      <c r="K161" t="b" cm="1">
        <f t="array" ref="K161:Q161">TRANSPOSE(I161&gt;$C$1:$C$7)</f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b">
        <v>1</v>
      </c>
      <c r="R161">
        <f t="shared" si="11"/>
        <v>7</v>
      </c>
      <c r="S161" s="2" cm="1">
        <f t="array" aca="1" ref="S161" ca="1">MAX(0,J161*INDEX($B$1:$B$7,COUNTIF(_xlfn.ANCHORARRAY($K$2),TRUE))-INDEX(_xlfn.ANCHORARRAY($D$1),COUNTIF(_xlfn.ANCHORARRAY($K$2),TRUE)))</f>
        <v>37071000</v>
      </c>
      <c r="T161" s="2">
        <v>13940000</v>
      </c>
      <c r="U161" s="2">
        <f t="shared" ca="1" si="12"/>
        <v>51011000</v>
      </c>
      <c r="V161" s="2">
        <v>27880000</v>
      </c>
      <c r="W161" t="b">
        <f t="shared" ca="1" si="13"/>
        <v>0</v>
      </c>
      <c r="X161" t="b">
        <f t="shared" ca="1" si="14"/>
        <v>0</v>
      </c>
    </row>
    <row r="162" spans="7:24" x14ac:dyDescent="0.25">
      <c r="G162">
        <v>165</v>
      </c>
      <c r="H162" s="2">
        <v>165000000</v>
      </c>
      <c r="I162" s="2">
        <v>134975000</v>
      </c>
      <c r="J162" s="2">
        <f t="shared" si="10"/>
        <v>134975000</v>
      </c>
      <c r="K162" t="b" cm="1">
        <f t="array" ref="K162:Q162">TRANSPOSE(I162&gt;$C$1:$C$7)</f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 t="b">
        <v>1</v>
      </c>
      <c r="R162">
        <f t="shared" si="11"/>
        <v>7</v>
      </c>
      <c r="S162" s="2" cm="1">
        <f t="array" aca="1" ref="S162" ca="1">MAX(0,J162*INDEX($B$1:$B$7,COUNTIF(_xlfn.ANCHORARRAY($K$2),TRUE))-INDEX(_xlfn.ANCHORARRAY($D$1),COUNTIF(_xlfn.ANCHORARRAY($K$2),TRUE)))</f>
        <v>37391250</v>
      </c>
      <c r="T162" s="2">
        <v>14025000</v>
      </c>
      <c r="U162" s="2">
        <f t="shared" ca="1" si="12"/>
        <v>51416250</v>
      </c>
      <c r="V162" s="2">
        <v>28050000</v>
      </c>
      <c r="W162" t="b">
        <f t="shared" ca="1" si="13"/>
        <v>0</v>
      </c>
      <c r="X162" t="b">
        <f t="shared" ca="1" si="14"/>
        <v>0</v>
      </c>
    </row>
    <row r="163" spans="7:24" x14ac:dyDescent="0.25">
      <c r="G163">
        <v>166</v>
      </c>
      <c r="H163" s="2">
        <v>166000000</v>
      </c>
      <c r="I163" s="2">
        <v>135890000</v>
      </c>
      <c r="J163" s="2">
        <f t="shared" si="10"/>
        <v>135890000</v>
      </c>
      <c r="K163" t="b" cm="1">
        <f t="array" ref="K163:Q163">TRANSPOSE(I163&gt;$C$1:$C$7)</f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b">
        <v>1</v>
      </c>
      <c r="R163">
        <f t="shared" si="11"/>
        <v>7</v>
      </c>
      <c r="S163" s="2" cm="1">
        <f t="array" aca="1" ref="S163" ca="1">MAX(0,J163*INDEX($B$1:$B$7,COUNTIF(_xlfn.ANCHORARRAY($K$2),TRUE))-INDEX(_xlfn.ANCHORARRAY($D$1),COUNTIF(_xlfn.ANCHORARRAY($K$2),TRUE)))</f>
        <v>37711500</v>
      </c>
      <c r="T163" s="2">
        <v>14110000</v>
      </c>
      <c r="U163" s="2">
        <f t="shared" ca="1" si="12"/>
        <v>51821500</v>
      </c>
      <c r="V163" s="2">
        <v>28220000</v>
      </c>
      <c r="W163" t="b">
        <f t="shared" ca="1" si="13"/>
        <v>0</v>
      </c>
      <c r="X163" t="b">
        <f t="shared" ca="1" si="14"/>
        <v>0</v>
      </c>
    </row>
    <row r="164" spans="7:24" x14ac:dyDescent="0.25">
      <c r="G164">
        <v>167</v>
      </c>
      <c r="H164" s="2">
        <v>167000000</v>
      </c>
      <c r="I164" s="2">
        <v>136805000</v>
      </c>
      <c r="J164" s="2">
        <f t="shared" si="10"/>
        <v>136805000</v>
      </c>
      <c r="K164" t="b" cm="1">
        <f t="array" ref="K164:Q164">TRANSPOSE(I164&gt;$C$1:$C$7)</f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b">
        <v>1</v>
      </c>
      <c r="R164">
        <f t="shared" si="11"/>
        <v>7</v>
      </c>
      <c r="S164" s="2" cm="1">
        <f t="array" aca="1" ref="S164" ca="1">MAX(0,J164*INDEX($B$1:$B$7,COUNTIF(_xlfn.ANCHORARRAY($K$2),TRUE))-INDEX(_xlfn.ANCHORARRAY($D$1),COUNTIF(_xlfn.ANCHORARRAY($K$2),TRUE)))</f>
        <v>38031750</v>
      </c>
      <c r="T164" s="2">
        <v>14195000</v>
      </c>
      <c r="U164" s="2">
        <f t="shared" ca="1" si="12"/>
        <v>52226750</v>
      </c>
      <c r="V164" s="2">
        <v>28390000</v>
      </c>
      <c r="W164" t="b">
        <f t="shared" ca="1" si="13"/>
        <v>0</v>
      </c>
      <c r="X164" t="b">
        <f t="shared" ca="1" si="14"/>
        <v>0</v>
      </c>
    </row>
    <row r="165" spans="7:24" x14ac:dyDescent="0.25">
      <c r="G165">
        <v>168</v>
      </c>
      <c r="H165" s="2">
        <v>168000000</v>
      </c>
      <c r="I165" s="2">
        <v>137720000</v>
      </c>
      <c r="J165" s="2">
        <f t="shared" si="10"/>
        <v>137720000</v>
      </c>
      <c r="K165" t="b" cm="1">
        <f t="array" ref="K165:Q165">TRANSPOSE(I165&gt;$C$1:$C$7)</f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b">
        <v>1</v>
      </c>
      <c r="R165">
        <f t="shared" si="11"/>
        <v>7</v>
      </c>
      <c r="S165" s="2" cm="1">
        <f t="array" aca="1" ref="S165" ca="1">MAX(0,J165*INDEX($B$1:$B$7,COUNTIF(_xlfn.ANCHORARRAY($K$2),TRUE))-INDEX(_xlfn.ANCHORARRAY($D$1),COUNTIF(_xlfn.ANCHORARRAY($K$2),TRUE)))</f>
        <v>38352000</v>
      </c>
      <c r="T165" s="2">
        <v>14280000</v>
      </c>
      <c r="U165" s="2">
        <f t="shared" ca="1" si="12"/>
        <v>52632000</v>
      </c>
      <c r="V165" s="2">
        <v>28560000</v>
      </c>
      <c r="W165" t="b">
        <f t="shared" ca="1" si="13"/>
        <v>0</v>
      </c>
      <c r="X165" t="b">
        <f t="shared" ca="1" si="14"/>
        <v>0</v>
      </c>
    </row>
    <row r="166" spans="7:24" x14ac:dyDescent="0.25">
      <c r="G166">
        <v>169</v>
      </c>
      <c r="H166" s="2">
        <v>169000000</v>
      </c>
      <c r="I166" s="2">
        <v>138635000</v>
      </c>
      <c r="J166" s="2">
        <f t="shared" si="10"/>
        <v>138635000</v>
      </c>
      <c r="K166" t="b" cm="1">
        <f t="array" ref="K166:Q166">TRANSPOSE(I166&gt;$C$1:$C$7)</f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b">
        <v>1</v>
      </c>
      <c r="R166">
        <f t="shared" si="11"/>
        <v>7</v>
      </c>
      <c r="S166" s="2" cm="1">
        <f t="array" aca="1" ref="S166" ca="1">MAX(0,J166*INDEX($B$1:$B$7,COUNTIF(_xlfn.ANCHORARRAY($K$2),TRUE))-INDEX(_xlfn.ANCHORARRAY($D$1),COUNTIF(_xlfn.ANCHORARRAY($K$2),TRUE)))</f>
        <v>38672250</v>
      </c>
      <c r="T166" s="2">
        <v>14365000</v>
      </c>
      <c r="U166" s="2">
        <f t="shared" ca="1" si="12"/>
        <v>53037250</v>
      </c>
      <c r="V166" s="2">
        <v>28730000</v>
      </c>
      <c r="W166" t="b">
        <f t="shared" ca="1" si="13"/>
        <v>0</v>
      </c>
      <c r="X166" t="b">
        <f t="shared" ca="1" si="14"/>
        <v>0</v>
      </c>
    </row>
    <row r="167" spans="7:24" x14ac:dyDescent="0.25">
      <c r="G167">
        <v>170</v>
      </c>
      <c r="H167" s="2">
        <v>170000000</v>
      </c>
      <c r="I167" s="2">
        <v>139550000</v>
      </c>
      <c r="J167" s="2">
        <f t="shared" si="10"/>
        <v>139550000</v>
      </c>
      <c r="K167" t="b" cm="1">
        <f t="array" ref="K167:Q167">TRANSPOSE(I167&gt;$C$1:$C$7)</f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 t="b">
        <v>1</v>
      </c>
      <c r="R167">
        <f t="shared" si="11"/>
        <v>7</v>
      </c>
      <c r="S167" s="2" cm="1">
        <f t="array" aca="1" ref="S167" ca="1">MAX(0,J167*INDEX($B$1:$B$7,COUNTIF(_xlfn.ANCHORARRAY($K$2),TRUE))-INDEX(_xlfn.ANCHORARRAY($D$1),COUNTIF(_xlfn.ANCHORARRAY($K$2),TRUE)))</f>
        <v>38992500</v>
      </c>
      <c r="T167" s="2">
        <v>14450000</v>
      </c>
      <c r="U167" s="2">
        <f t="shared" ca="1" si="12"/>
        <v>53442500</v>
      </c>
      <c r="V167" s="2">
        <v>28900000</v>
      </c>
      <c r="W167" t="b">
        <f t="shared" ca="1" si="13"/>
        <v>0</v>
      </c>
      <c r="X167" t="b">
        <f t="shared" ca="1" si="14"/>
        <v>0</v>
      </c>
    </row>
    <row r="168" spans="7:24" x14ac:dyDescent="0.25">
      <c r="G168">
        <v>171</v>
      </c>
      <c r="H168" s="2">
        <v>171000000</v>
      </c>
      <c r="I168" s="2">
        <v>140465000</v>
      </c>
      <c r="J168" s="2">
        <f t="shared" si="10"/>
        <v>140465000</v>
      </c>
      <c r="K168" t="b" cm="1">
        <f t="array" ref="K168:Q168">TRANSPOSE(I168&gt;$C$1:$C$7)</f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b">
        <v>1</v>
      </c>
      <c r="R168">
        <f t="shared" si="11"/>
        <v>7</v>
      </c>
      <c r="S168" s="2" cm="1">
        <f t="array" aca="1" ref="S168" ca="1">MAX(0,J168*INDEX($B$1:$B$7,COUNTIF(_xlfn.ANCHORARRAY($K$2),TRUE))-INDEX(_xlfn.ANCHORARRAY($D$1),COUNTIF(_xlfn.ANCHORARRAY($K$2),TRUE)))</f>
        <v>39312750</v>
      </c>
      <c r="T168" s="2">
        <v>14535000</v>
      </c>
      <c r="U168" s="2">
        <f t="shared" ca="1" si="12"/>
        <v>53847750</v>
      </c>
      <c r="V168" s="2">
        <v>29070000</v>
      </c>
      <c r="W168" t="b">
        <f t="shared" ca="1" si="13"/>
        <v>0</v>
      </c>
      <c r="X168" t="b">
        <f t="shared" ca="1" si="14"/>
        <v>0</v>
      </c>
    </row>
    <row r="169" spans="7:24" x14ac:dyDescent="0.25">
      <c r="G169">
        <v>172</v>
      </c>
      <c r="H169" s="2">
        <v>172000000</v>
      </c>
      <c r="I169" s="2">
        <v>141380000</v>
      </c>
      <c r="J169" s="2">
        <f t="shared" si="10"/>
        <v>141380000</v>
      </c>
      <c r="K169" t="b" cm="1">
        <f t="array" ref="K169:Q169">TRANSPOSE(I169&gt;$C$1:$C$7)</f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b">
        <v>1</v>
      </c>
      <c r="R169">
        <f t="shared" si="11"/>
        <v>7</v>
      </c>
      <c r="S169" s="2" cm="1">
        <f t="array" aca="1" ref="S169" ca="1">MAX(0,J169*INDEX($B$1:$B$7,COUNTIF(_xlfn.ANCHORARRAY($K$2),TRUE))-INDEX(_xlfn.ANCHORARRAY($D$1),COUNTIF(_xlfn.ANCHORARRAY($K$2),TRUE)))</f>
        <v>39633000</v>
      </c>
      <c r="T169" s="2">
        <v>14620000</v>
      </c>
      <c r="U169" s="2">
        <f t="shared" ca="1" si="12"/>
        <v>54253000</v>
      </c>
      <c r="V169" s="2">
        <v>29240000</v>
      </c>
      <c r="W169" t="b">
        <f t="shared" ca="1" si="13"/>
        <v>0</v>
      </c>
      <c r="X169" t="b">
        <f t="shared" ca="1" si="14"/>
        <v>0</v>
      </c>
    </row>
    <row r="170" spans="7:24" x14ac:dyDescent="0.25">
      <c r="G170">
        <v>173</v>
      </c>
      <c r="H170" s="2">
        <v>173000000</v>
      </c>
      <c r="I170" s="2">
        <v>142295000</v>
      </c>
      <c r="J170" s="2">
        <f t="shared" si="10"/>
        <v>142295000</v>
      </c>
      <c r="K170" t="b" cm="1">
        <f t="array" ref="K170:Q170">TRANSPOSE(I170&gt;$C$1:$C$7)</f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 t="b">
        <v>1</v>
      </c>
      <c r="R170">
        <f t="shared" si="11"/>
        <v>7</v>
      </c>
      <c r="S170" s="2" cm="1">
        <f t="array" aca="1" ref="S170" ca="1">MAX(0,J170*INDEX($B$1:$B$7,COUNTIF(_xlfn.ANCHORARRAY($K$2),TRUE))-INDEX(_xlfn.ANCHORARRAY($D$1),COUNTIF(_xlfn.ANCHORARRAY($K$2),TRUE)))</f>
        <v>39953250</v>
      </c>
      <c r="T170" s="2">
        <v>14705000</v>
      </c>
      <c r="U170" s="2">
        <f t="shared" ca="1" si="12"/>
        <v>54658250</v>
      </c>
      <c r="V170" s="2">
        <v>29410000</v>
      </c>
      <c r="W170" t="b">
        <f t="shared" ca="1" si="13"/>
        <v>0</v>
      </c>
      <c r="X170" t="b">
        <f t="shared" ca="1" si="14"/>
        <v>0</v>
      </c>
    </row>
    <row r="171" spans="7:24" x14ac:dyDescent="0.25">
      <c r="G171">
        <v>174</v>
      </c>
      <c r="H171" s="2">
        <v>174000000</v>
      </c>
      <c r="I171" s="2">
        <v>143210000</v>
      </c>
      <c r="J171" s="2">
        <f t="shared" si="10"/>
        <v>143210000</v>
      </c>
      <c r="K171" t="b" cm="1">
        <f t="array" ref="K171:Q171">TRANSPOSE(I171&gt;$C$1:$C$7)</f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 t="b">
        <v>1</v>
      </c>
      <c r="R171">
        <f t="shared" si="11"/>
        <v>7</v>
      </c>
      <c r="S171" s="2" cm="1">
        <f t="array" aca="1" ref="S171" ca="1">MAX(0,J171*INDEX($B$1:$B$7,COUNTIF(_xlfn.ANCHORARRAY($K$2),TRUE))-INDEX(_xlfn.ANCHORARRAY($D$1),COUNTIF(_xlfn.ANCHORARRAY($K$2),TRUE)))</f>
        <v>40273500</v>
      </c>
      <c r="T171" s="2">
        <v>14790000</v>
      </c>
      <c r="U171" s="2">
        <f t="shared" ca="1" si="12"/>
        <v>55063500</v>
      </c>
      <c r="V171" s="2">
        <v>29580000</v>
      </c>
      <c r="W171" t="b">
        <f t="shared" ca="1" si="13"/>
        <v>0</v>
      </c>
      <c r="X171" t="b">
        <f t="shared" ca="1" si="14"/>
        <v>0</v>
      </c>
    </row>
    <row r="172" spans="7:24" x14ac:dyDescent="0.25">
      <c r="G172">
        <v>175</v>
      </c>
      <c r="H172" s="2">
        <v>175000000</v>
      </c>
      <c r="I172" s="2">
        <v>144125000</v>
      </c>
      <c r="J172" s="2">
        <f t="shared" si="10"/>
        <v>144125000</v>
      </c>
      <c r="K172" t="b" cm="1">
        <f t="array" ref="K172:Q172">TRANSPOSE(I172&gt;$C$1:$C$7)</f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b">
        <v>1</v>
      </c>
      <c r="R172">
        <f t="shared" si="11"/>
        <v>7</v>
      </c>
      <c r="S172" s="2" cm="1">
        <f t="array" aca="1" ref="S172" ca="1">MAX(0,J172*INDEX($B$1:$B$7,COUNTIF(_xlfn.ANCHORARRAY($K$2),TRUE))-INDEX(_xlfn.ANCHORARRAY($D$1),COUNTIF(_xlfn.ANCHORARRAY($K$2),TRUE)))</f>
        <v>40593750</v>
      </c>
      <c r="T172" s="2">
        <v>14875000</v>
      </c>
      <c r="U172" s="2">
        <f t="shared" ca="1" si="12"/>
        <v>55468750</v>
      </c>
      <c r="V172" s="2">
        <v>29750000</v>
      </c>
      <c r="W172" t="b">
        <f t="shared" ca="1" si="13"/>
        <v>0</v>
      </c>
      <c r="X172" t="b">
        <f t="shared" ca="1" si="14"/>
        <v>0</v>
      </c>
    </row>
    <row r="173" spans="7:24" x14ac:dyDescent="0.25">
      <c r="G173">
        <v>176</v>
      </c>
      <c r="H173" s="2">
        <v>176000000</v>
      </c>
      <c r="I173" s="2">
        <v>145040000</v>
      </c>
      <c r="J173" s="2">
        <f t="shared" si="10"/>
        <v>145040000</v>
      </c>
      <c r="K173" t="b" cm="1">
        <f t="array" ref="K173:Q173">TRANSPOSE(I173&gt;$C$1:$C$7)</f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 t="b">
        <v>1</v>
      </c>
      <c r="R173">
        <f t="shared" si="11"/>
        <v>7</v>
      </c>
      <c r="S173" s="2" cm="1">
        <f t="array" aca="1" ref="S173" ca="1">MAX(0,J173*INDEX($B$1:$B$7,COUNTIF(_xlfn.ANCHORARRAY($K$2),TRUE))-INDEX(_xlfn.ANCHORARRAY($D$1),COUNTIF(_xlfn.ANCHORARRAY($K$2),TRUE)))</f>
        <v>40914000</v>
      </c>
      <c r="T173" s="2">
        <v>14960000</v>
      </c>
      <c r="U173" s="2">
        <f t="shared" ca="1" si="12"/>
        <v>55874000</v>
      </c>
      <c r="V173" s="2">
        <v>29920000</v>
      </c>
      <c r="W173" t="b">
        <f t="shared" ca="1" si="13"/>
        <v>0</v>
      </c>
      <c r="X173" t="b">
        <f t="shared" ca="1" si="14"/>
        <v>0</v>
      </c>
    </row>
    <row r="174" spans="7:24" x14ac:dyDescent="0.25">
      <c r="G174">
        <v>177</v>
      </c>
      <c r="H174" s="2">
        <v>177000000</v>
      </c>
      <c r="I174" s="2">
        <v>145955000</v>
      </c>
      <c r="J174" s="2">
        <f t="shared" si="10"/>
        <v>145955000</v>
      </c>
      <c r="K174" t="b" cm="1">
        <f t="array" ref="K174:Q174">TRANSPOSE(I174&gt;$C$1:$C$7)</f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 t="b">
        <v>1</v>
      </c>
      <c r="R174">
        <f t="shared" si="11"/>
        <v>7</v>
      </c>
      <c r="S174" s="2" cm="1">
        <f t="array" aca="1" ref="S174" ca="1">MAX(0,J174*INDEX($B$1:$B$7,COUNTIF(_xlfn.ANCHORARRAY($K$2),TRUE))-INDEX(_xlfn.ANCHORARRAY($D$1),COUNTIF(_xlfn.ANCHORARRAY($K$2),TRUE)))</f>
        <v>41234250</v>
      </c>
      <c r="T174" s="2">
        <v>15045000</v>
      </c>
      <c r="U174" s="2">
        <f t="shared" ca="1" si="12"/>
        <v>56279250</v>
      </c>
      <c r="V174" s="2">
        <v>30090000</v>
      </c>
      <c r="W174" t="b">
        <f t="shared" ca="1" si="13"/>
        <v>0</v>
      </c>
      <c r="X174" t="b">
        <f t="shared" ca="1" si="14"/>
        <v>0</v>
      </c>
    </row>
    <row r="175" spans="7:24" x14ac:dyDescent="0.25">
      <c r="G175">
        <v>178</v>
      </c>
      <c r="H175" s="2">
        <v>178000000</v>
      </c>
      <c r="I175" s="2">
        <v>146870000</v>
      </c>
      <c r="J175" s="2">
        <f t="shared" si="10"/>
        <v>146870000</v>
      </c>
      <c r="K175" t="b" cm="1">
        <f t="array" ref="K175:Q175">TRANSPOSE(I175&gt;$C$1:$C$7)</f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b">
        <v>1</v>
      </c>
      <c r="R175">
        <f t="shared" si="11"/>
        <v>7</v>
      </c>
      <c r="S175" s="2" cm="1">
        <f t="array" aca="1" ref="S175" ca="1">MAX(0,J175*INDEX($B$1:$B$7,COUNTIF(_xlfn.ANCHORARRAY($K$2),TRUE))-INDEX(_xlfn.ANCHORARRAY($D$1),COUNTIF(_xlfn.ANCHORARRAY($K$2),TRUE)))</f>
        <v>41554500</v>
      </c>
      <c r="T175" s="2">
        <v>15130000</v>
      </c>
      <c r="U175" s="2">
        <f t="shared" ca="1" si="12"/>
        <v>56684500</v>
      </c>
      <c r="V175" s="2">
        <v>30260000</v>
      </c>
      <c r="W175" t="b">
        <f t="shared" ca="1" si="13"/>
        <v>0</v>
      </c>
      <c r="X175" t="b">
        <f t="shared" ca="1" si="14"/>
        <v>0</v>
      </c>
    </row>
    <row r="176" spans="7:24" x14ac:dyDescent="0.25">
      <c r="G176">
        <v>179</v>
      </c>
      <c r="H176" s="2">
        <v>179000000</v>
      </c>
      <c r="I176" s="2">
        <v>147785000</v>
      </c>
      <c r="J176" s="2">
        <f t="shared" si="10"/>
        <v>147785000</v>
      </c>
      <c r="K176" t="b" cm="1">
        <f t="array" ref="K176:Q176">TRANSPOSE(I176&gt;$C$1:$C$7)</f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b">
        <v>1</v>
      </c>
      <c r="R176">
        <f t="shared" si="11"/>
        <v>7</v>
      </c>
      <c r="S176" s="2" cm="1">
        <f t="array" aca="1" ref="S176" ca="1">MAX(0,J176*INDEX($B$1:$B$7,COUNTIF(_xlfn.ANCHORARRAY($K$2),TRUE))-INDEX(_xlfn.ANCHORARRAY($D$1),COUNTIF(_xlfn.ANCHORARRAY($K$2),TRUE)))</f>
        <v>41874750</v>
      </c>
      <c r="T176" s="2">
        <v>15215000</v>
      </c>
      <c r="U176" s="2">
        <f t="shared" ca="1" si="12"/>
        <v>57089750</v>
      </c>
      <c r="V176" s="2">
        <v>30430000</v>
      </c>
      <c r="W176" t="b">
        <f t="shared" ca="1" si="13"/>
        <v>0</v>
      </c>
      <c r="X176" t="b">
        <f t="shared" ca="1" si="14"/>
        <v>0</v>
      </c>
    </row>
    <row r="177" spans="7:24" x14ac:dyDescent="0.25">
      <c r="G177">
        <v>180</v>
      </c>
      <c r="H177" s="2">
        <v>180000000</v>
      </c>
      <c r="I177" s="2">
        <v>148700000</v>
      </c>
      <c r="J177" s="2">
        <f t="shared" si="10"/>
        <v>148700000</v>
      </c>
      <c r="K177" t="b" cm="1">
        <f t="array" ref="K177:Q177">TRANSPOSE(I177&gt;$C$1:$C$7)</f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b">
        <v>1</v>
      </c>
      <c r="R177">
        <f t="shared" si="11"/>
        <v>7</v>
      </c>
      <c r="S177" s="2" cm="1">
        <f t="array" aca="1" ref="S177" ca="1">MAX(0,J177*INDEX($B$1:$B$7,COUNTIF(_xlfn.ANCHORARRAY($K$2),TRUE))-INDEX(_xlfn.ANCHORARRAY($D$1),COUNTIF(_xlfn.ANCHORARRAY($K$2),TRUE)))</f>
        <v>42195000</v>
      </c>
      <c r="T177" s="2">
        <v>15300000</v>
      </c>
      <c r="U177" s="2">
        <f t="shared" ca="1" si="12"/>
        <v>57495000</v>
      </c>
      <c r="V177" s="2">
        <v>30600000</v>
      </c>
      <c r="W177" t="b">
        <f t="shared" ca="1" si="13"/>
        <v>0</v>
      </c>
      <c r="X177" t="b">
        <f t="shared" ca="1" si="14"/>
        <v>0</v>
      </c>
    </row>
    <row r="178" spans="7:24" x14ac:dyDescent="0.25">
      <c r="G178">
        <v>181</v>
      </c>
      <c r="H178" s="2">
        <v>181000000</v>
      </c>
      <c r="I178" s="2">
        <v>149615000</v>
      </c>
      <c r="J178" s="2">
        <f t="shared" si="10"/>
        <v>149615000</v>
      </c>
      <c r="K178" t="b" cm="1">
        <f t="array" ref="K178:Q178">TRANSPOSE(I178&gt;$C$1:$C$7)</f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b">
        <v>1</v>
      </c>
      <c r="R178">
        <f t="shared" si="11"/>
        <v>7</v>
      </c>
      <c r="S178" s="2" cm="1">
        <f t="array" aca="1" ref="S178" ca="1">MAX(0,J178*INDEX($B$1:$B$7,COUNTIF(_xlfn.ANCHORARRAY($K$2),TRUE))-INDEX(_xlfn.ANCHORARRAY($D$1),COUNTIF(_xlfn.ANCHORARRAY($K$2),TRUE)))</f>
        <v>42515250</v>
      </c>
      <c r="T178" s="2">
        <v>15385000</v>
      </c>
      <c r="U178" s="2">
        <f t="shared" ca="1" si="12"/>
        <v>57900250</v>
      </c>
      <c r="V178" s="2">
        <v>30770000</v>
      </c>
      <c r="W178" t="b">
        <f t="shared" ca="1" si="13"/>
        <v>0</v>
      </c>
      <c r="X178" t="b">
        <f t="shared" ca="1" si="14"/>
        <v>0</v>
      </c>
    </row>
    <row r="179" spans="7:24" x14ac:dyDescent="0.25">
      <c r="G179">
        <v>182</v>
      </c>
      <c r="H179" s="2">
        <v>182000000</v>
      </c>
      <c r="I179" s="2">
        <v>150530000</v>
      </c>
      <c r="J179" s="2">
        <f t="shared" si="10"/>
        <v>150530000</v>
      </c>
      <c r="K179" t="b" cm="1">
        <f t="array" ref="K179:Q179">TRANSPOSE(I179&gt;$C$1:$C$7)</f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b">
        <v>1</v>
      </c>
      <c r="R179">
        <f t="shared" si="11"/>
        <v>7</v>
      </c>
      <c r="S179" s="2" cm="1">
        <f t="array" aca="1" ref="S179" ca="1">MAX(0,J179*INDEX($B$1:$B$7,COUNTIF(_xlfn.ANCHORARRAY($K$2),TRUE))-INDEX(_xlfn.ANCHORARRAY($D$1),COUNTIF(_xlfn.ANCHORARRAY($K$2),TRUE)))</f>
        <v>42835500</v>
      </c>
      <c r="T179" s="2">
        <v>15470000</v>
      </c>
      <c r="U179" s="2">
        <f t="shared" ca="1" si="12"/>
        <v>58305500</v>
      </c>
      <c r="V179" s="2">
        <v>30940000</v>
      </c>
      <c r="W179" t="b">
        <f t="shared" ca="1" si="13"/>
        <v>0</v>
      </c>
      <c r="X179" t="b">
        <f t="shared" ca="1" si="14"/>
        <v>0</v>
      </c>
    </row>
    <row r="180" spans="7:24" x14ac:dyDescent="0.25">
      <c r="G180">
        <v>183</v>
      </c>
      <c r="H180" s="2">
        <v>183000000</v>
      </c>
      <c r="I180" s="2">
        <v>151445000</v>
      </c>
      <c r="J180" s="2">
        <f t="shared" si="10"/>
        <v>151445000</v>
      </c>
      <c r="K180" t="b" cm="1">
        <f t="array" ref="K180:Q180">TRANSPOSE(I180&gt;$C$1:$C$7)</f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b">
        <v>1</v>
      </c>
      <c r="R180">
        <f t="shared" si="11"/>
        <v>7</v>
      </c>
      <c r="S180" s="2" cm="1">
        <f t="array" aca="1" ref="S180" ca="1">MAX(0,J180*INDEX($B$1:$B$7,COUNTIF(_xlfn.ANCHORARRAY($K$2),TRUE))-INDEX(_xlfn.ANCHORARRAY($D$1),COUNTIF(_xlfn.ANCHORARRAY($K$2),TRUE)))</f>
        <v>43155750</v>
      </c>
      <c r="T180" s="2">
        <v>15555000</v>
      </c>
      <c r="U180" s="2">
        <f t="shared" ca="1" si="12"/>
        <v>58710750</v>
      </c>
      <c r="V180" s="2">
        <v>31110000</v>
      </c>
      <c r="W180" t="b">
        <f t="shared" ca="1" si="13"/>
        <v>0</v>
      </c>
      <c r="X180" t="b">
        <f t="shared" ca="1" si="14"/>
        <v>0</v>
      </c>
    </row>
    <row r="181" spans="7:24" x14ac:dyDescent="0.25">
      <c r="G181">
        <v>184</v>
      </c>
      <c r="H181" s="2">
        <v>184000000</v>
      </c>
      <c r="I181" s="2">
        <v>152360000</v>
      </c>
      <c r="J181" s="2">
        <f t="shared" si="10"/>
        <v>152360000</v>
      </c>
      <c r="K181" t="b" cm="1">
        <f t="array" ref="K181:Q181">TRANSPOSE(I181&gt;$C$1:$C$7)</f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b">
        <v>1</v>
      </c>
      <c r="R181">
        <f t="shared" si="11"/>
        <v>7</v>
      </c>
      <c r="S181" s="2" cm="1">
        <f t="array" aca="1" ref="S181" ca="1">MAX(0,J181*INDEX($B$1:$B$7,COUNTIF(_xlfn.ANCHORARRAY($K$2),TRUE))-INDEX(_xlfn.ANCHORARRAY($D$1),COUNTIF(_xlfn.ANCHORARRAY($K$2),TRUE)))</f>
        <v>43476000</v>
      </c>
      <c r="T181" s="2">
        <v>15640000</v>
      </c>
      <c r="U181" s="2">
        <f t="shared" ca="1" si="12"/>
        <v>59116000</v>
      </c>
      <c r="V181" s="2">
        <v>31280000</v>
      </c>
      <c r="W181" t="b">
        <f t="shared" ca="1" si="13"/>
        <v>0</v>
      </c>
      <c r="X181" t="b">
        <f t="shared" ca="1" si="14"/>
        <v>0</v>
      </c>
    </row>
    <row r="182" spans="7:24" x14ac:dyDescent="0.25">
      <c r="G182">
        <v>185</v>
      </c>
      <c r="H182" s="2">
        <v>185000000</v>
      </c>
      <c r="I182" s="2">
        <v>153275000</v>
      </c>
      <c r="J182" s="2">
        <f t="shared" si="10"/>
        <v>153275000</v>
      </c>
      <c r="K182" t="b" cm="1">
        <f t="array" ref="K182:Q182">TRANSPOSE(I182&gt;$C$1:$C$7)</f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b">
        <v>1</v>
      </c>
      <c r="R182">
        <f t="shared" si="11"/>
        <v>7</v>
      </c>
      <c r="S182" s="2" cm="1">
        <f t="array" aca="1" ref="S182" ca="1">MAX(0,J182*INDEX($B$1:$B$7,COUNTIF(_xlfn.ANCHORARRAY($K$2),TRUE))-INDEX(_xlfn.ANCHORARRAY($D$1),COUNTIF(_xlfn.ANCHORARRAY($K$2),TRUE)))</f>
        <v>43796250</v>
      </c>
      <c r="T182" s="2">
        <v>15725000</v>
      </c>
      <c r="U182" s="2">
        <f t="shared" ca="1" si="12"/>
        <v>59521250</v>
      </c>
      <c r="V182" s="2">
        <v>31450000</v>
      </c>
      <c r="W182" t="b">
        <f t="shared" ca="1" si="13"/>
        <v>0</v>
      </c>
      <c r="X182" t="b">
        <f t="shared" ca="1" si="14"/>
        <v>0</v>
      </c>
    </row>
    <row r="183" spans="7:24" x14ac:dyDescent="0.25">
      <c r="G183">
        <v>186</v>
      </c>
      <c r="H183" s="2">
        <v>186000000</v>
      </c>
      <c r="I183" s="2">
        <v>154190000</v>
      </c>
      <c r="J183" s="2">
        <f t="shared" si="10"/>
        <v>154190000</v>
      </c>
      <c r="K183" t="b" cm="1">
        <f t="array" ref="K183:Q183">TRANSPOSE(I183&gt;$C$1:$C$7)</f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b">
        <v>1</v>
      </c>
      <c r="R183">
        <f t="shared" si="11"/>
        <v>7</v>
      </c>
      <c r="S183" s="2" cm="1">
        <f t="array" aca="1" ref="S183" ca="1">MAX(0,J183*INDEX($B$1:$B$7,COUNTIF(_xlfn.ANCHORARRAY($K$2),TRUE))-INDEX(_xlfn.ANCHORARRAY($D$1),COUNTIF(_xlfn.ANCHORARRAY($K$2),TRUE)))</f>
        <v>44116500</v>
      </c>
      <c r="T183" s="2">
        <v>15810000</v>
      </c>
      <c r="U183" s="2">
        <f t="shared" ca="1" si="12"/>
        <v>59926500</v>
      </c>
      <c r="V183" s="2">
        <v>31620000</v>
      </c>
      <c r="W183" t="b">
        <f t="shared" ca="1" si="13"/>
        <v>0</v>
      </c>
      <c r="X183" t="b">
        <f t="shared" ca="1" si="14"/>
        <v>0</v>
      </c>
    </row>
    <row r="184" spans="7:24" x14ac:dyDescent="0.25">
      <c r="G184">
        <v>187</v>
      </c>
      <c r="H184" s="2">
        <v>187000000</v>
      </c>
      <c r="I184" s="2">
        <v>155105000</v>
      </c>
      <c r="J184" s="2">
        <f t="shared" si="10"/>
        <v>155105000</v>
      </c>
      <c r="K184" t="b" cm="1">
        <f t="array" ref="K184:Q184">TRANSPOSE(I184&gt;$C$1:$C$7)</f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 t="b">
        <v>1</v>
      </c>
      <c r="R184">
        <f t="shared" si="11"/>
        <v>7</v>
      </c>
      <c r="S184" s="2" cm="1">
        <f t="array" aca="1" ref="S184" ca="1">MAX(0,J184*INDEX($B$1:$B$7,COUNTIF(_xlfn.ANCHORARRAY($K$2),TRUE))-INDEX(_xlfn.ANCHORARRAY($D$1),COUNTIF(_xlfn.ANCHORARRAY($K$2),TRUE)))</f>
        <v>44436750</v>
      </c>
      <c r="T184" s="2">
        <v>15895000</v>
      </c>
      <c r="U184" s="2">
        <f t="shared" ca="1" si="12"/>
        <v>60331750</v>
      </c>
      <c r="V184" s="2">
        <v>31790000</v>
      </c>
      <c r="W184" t="b">
        <f t="shared" ca="1" si="13"/>
        <v>0</v>
      </c>
      <c r="X184" t="b">
        <f t="shared" ca="1" si="14"/>
        <v>0</v>
      </c>
    </row>
    <row r="185" spans="7:24" x14ac:dyDescent="0.25">
      <c r="G185">
        <v>188</v>
      </c>
      <c r="H185" s="2">
        <v>188000000</v>
      </c>
      <c r="I185" s="2">
        <v>156020000</v>
      </c>
      <c r="J185" s="2">
        <f t="shared" si="10"/>
        <v>156020000</v>
      </c>
      <c r="K185" t="b" cm="1">
        <f t="array" ref="K185:Q185">TRANSPOSE(I185&gt;$C$1:$C$7)</f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b">
        <v>1</v>
      </c>
      <c r="R185">
        <f t="shared" si="11"/>
        <v>7</v>
      </c>
      <c r="S185" s="2" cm="1">
        <f t="array" aca="1" ref="S185" ca="1">MAX(0,J185*INDEX($B$1:$B$7,COUNTIF(_xlfn.ANCHORARRAY($K$2),TRUE))-INDEX(_xlfn.ANCHORARRAY($D$1),COUNTIF(_xlfn.ANCHORARRAY($K$2),TRUE)))</f>
        <v>44757000</v>
      </c>
      <c r="T185" s="2">
        <v>15980000</v>
      </c>
      <c r="U185" s="2">
        <f t="shared" ca="1" si="12"/>
        <v>60737000</v>
      </c>
      <c r="V185" s="2">
        <v>31960000</v>
      </c>
      <c r="W185" t="b">
        <f t="shared" ca="1" si="13"/>
        <v>0</v>
      </c>
      <c r="X185" t="b">
        <f t="shared" ca="1" si="14"/>
        <v>0</v>
      </c>
    </row>
    <row r="186" spans="7:24" x14ac:dyDescent="0.25">
      <c r="G186">
        <v>189</v>
      </c>
      <c r="H186" s="2">
        <v>189000000</v>
      </c>
      <c r="I186" s="2">
        <v>156935000</v>
      </c>
      <c r="J186" s="2">
        <f t="shared" si="10"/>
        <v>156935000</v>
      </c>
      <c r="K186" t="b" cm="1">
        <f t="array" ref="K186:Q186">TRANSPOSE(I186&gt;$C$1:$C$7)</f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 t="b">
        <v>1</v>
      </c>
      <c r="R186">
        <f t="shared" si="11"/>
        <v>7</v>
      </c>
      <c r="S186" s="2" cm="1">
        <f t="array" aca="1" ref="S186" ca="1">MAX(0,J186*INDEX($B$1:$B$7,COUNTIF(_xlfn.ANCHORARRAY($K$2),TRUE))-INDEX(_xlfn.ANCHORARRAY($D$1),COUNTIF(_xlfn.ANCHORARRAY($K$2),TRUE)))</f>
        <v>45077250</v>
      </c>
      <c r="T186" s="2">
        <v>16065000</v>
      </c>
      <c r="U186" s="2">
        <f t="shared" ca="1" si="12"/>
        <v>61142250</v>
      </c>
      <c r="V186" s="2">
        <v>32130000</v>
      </c>
      <c r="W186" t="b">
        <f t="shared" ca="1" si="13"/>
        <v>0</v>
      </c>
      <c r="X186" t="b">
        <f t="shared" ca="1" si="14"/>
        <v>0</v>
      </c>
    </row>
    <row r="187" spans="7:24" x14ac:dyDescent="0.25">
      <c r="G187">
        <v>190</v>
      </c>
      <c r="H187" s="2">
        <v>190000000</v>
      </c>
      <c r="I187" s="2">
        <v>157850000</v>
      </c>
      <c r="J187" s="2">
        <f t="shared" si="10"/>
        <v>157850000</v>
      </c>
      <c r="K187" t="b" cm="1">
        <f t="array" ref="K187:Q187">TRANSPOSE(I187&gt;$C$1:$C$7)</f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b">
        <v>1</v>
      </c>
      <c r="R187">
        <f t="shared" si="11"/>
        <v>7</v>
      </c>
      <c r="S187" s="2" cm="1">
        <f t="array" aca="1" ref="S187" ca="1">MAX(0,J187*INDEX($B$1:$B$7,COUNTIF(_xlfn.ANCHORARRAY($K$2),TRUE))-INDEX(_xlfn.ANCHORARRAY($D$1),COUNTIF(_xlfn.ANCHORARRAY($K$2),TRUE)))</f>
        <v>45397500</v>
      </c>
      <c r="T187" s="2">
        <v>16150000</v>
      </c>
      <c r="U187" s="2">
        <f t="shared" ca="1" si="12"/>
        <v>61547500</v>
      </c>
      <c r="V187" s="2">
        <v>32300000</v>
      </c>
      <c r="W187" t="b">
        <f t="shared" ca="1" si="13"/>
        <v>0</v>
      </c>
      <c r="X187" t="b">
        <f t="shared" ca="1" si="14"/>
        <v>0</v>
      </c>
    </row>
    <row r="188" spans="7:24" x14ac:dyDescent="0.25">
      <c r="G188">
        <v>191</v>
      </c>
      <c r="H188" s="2">
        <v>191000000</v>
      </c>
      <c r="I188" s="2">
        <v>158765000</v>
      </c>
      <c r="J188" s="2">
        <f t="shared" si="10"/>
        <v>158765000</v>
      </c>
      <c r="K188" t="b" cm="1">
        <f t="array" ref="K188:Q188">TRANSPOSE(I188&gt;$C$1:$C$7)</f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b">
        <v>1</v>
      </c>
      <c r="R188">
        <f t="shared" si="11"/>
        <v>7</v>
      </c>
      <c r="S188" s="2" cm="1">
        <f t="array" aca="1" ref="S188" ca="1">MAX(0,J188*INDEX($B$1:$B$7,COUNTIF(_xlfn.ANCHORARRAY($K$2),TRUE))-INDEX(_xlfn.ANCHORARRAY($D$1),COUNTIF(_xlfn.ANCHORARRAY($K$2),TRUE)))</f>
        <v>45717750</v>
      </c>
      <c r="T188" s="2">
        <v>16235000</v>
      </c>
      <c r="U188" s="2">
        <f t="shared" ca="1" si="12"/>
        <v>61952750</v>
      </c>
      <c r="V188" s="2">
        <v>32470000</v>
      </c>
      <c r="W188" t="b">
        <f t="shared" ca="1" si="13"/>
        <v>0</v>
      </c>
      <c r="X188" t="b">
        <f t="shared" ca="1" si="14"/>
        <v>0</v>
      </c>
    </row>
    <row r="189" spans="7:24" x14ac:dyDescent="0.25">
      <c r="G189">
        <v>192</v>
      </c>
      <c r="H189" s="2">
        <v>192000000</v>
      </c>
      <c r="I189" s="2">
        <v>159680000</v>
      </c>
      <c r="J189" s="2">
        <f t="shared" si="10"/>
        <v>159680000</v>
      </c>
      <c r="K189" t="b" cm="1">
        <f t="array" ref="K189:Q189">TRANSPOSE(I189&gt;$C$1:$C$7)</f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b">
        <v>1</v>
      </c>
      <c r="R189">
        <f t="shared" si="11"/>
        <v>7</v>
      </c>
      <c r="S189" s="2" cm="1">
        <f t="array" aca="1" ref="S189" ca="1">MAX(0,J189*INDEX($B$1:$B$7,COUNTIF(_xlfn.ANCHORARRAY($K$2),TRUE))-INDEX(_xlfn.ANCHORARRAY($D$1),COUNTIF(_xlfn.ANCHORARRAY($K$2),TRUE)))</f>
        <v>46038000</v>
      </c>
      <c r="T189" s="2">
        <v>16320000</v>
      </c>
      <c r="U189" s="2">
        <f t="shared" ca="1" si="12"/>
        <v>62358000</v>
      </c>
      <c r="V189" s="2">
        <v>32640000</v>
      </c>
      <c r="W189" t="b">
        <f t="shared" ca="1" si="13"/>
        <v>0</v>
      </c>
      <c r="X189" t="b">
        <f t="shared" ca="1" si="14"/>
        <v>0</v>
      </c>
    </row>
    <row r="190" spans="7:24" x14ac:dyDescent="0.25">
      <c r="G190">
        <v>193</v>
      </c>
      <c r="H190" s="2">
        <v>193000000</v>
      </c>
      <c r="I190" s="2">
        <v>160595000</v>
      </c>
      <c r="J190" s="2">
        <f t="shared" si="10"/>
        <v>160595000</v>
      </c>
      <c r="K190" t="b" cm="1">
        <f t="array" ref="K190:Q190">TRANSPOSE(I190&gt;$C$1:$C$7)</f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b">
        <v>1</v>
      </c>
      <c r="R190">
        <f t="shared" si="11"/>
        <v>7</v>
      </c>
      <c r="S190" s="2" cm="1">
        <f t="array" aca="1" ref="S190" ca="1">MAX(0,J190*INDEX($B$1:$B$7,COUNTIF(_xlfn.ANCHORARRAY($K$2),TRUE))-INDEX(_xlfn.ANCHORARRAY($D$1),COUNTIF(_xlfn.ANCHORARRAY($K$2),TRUE)))</f>
        <v>46358250</v>
      </c>
      <c r="T190" s="2">
        <v>16405000</v>
      </c>
      <c r="U190" s="2">
        <f t="shared" ca="1" si="12"/>
        <v>62763250</v>
      </c>
      <c r="V190" s="2">
        <v>32810000</v>
      </c>
      <c r="W190" t="b">
        <f t="shared" ca="1" si="13"/>
        <v>0</v>
      </c>
      <c r="X190" t="b">
        <f t="shared" ca="1" si="14"/>
        <v>0</v>
      </c>
    </row>
    <row r="191" spans="7:24" x14ac:dyDescent="0.25">
      <c r="G191">
        <v>194</v>
      </c>
      <c r="H191" s="2">
        <v>194000000</v>
      </c>
      <c r="I191" s="2">
        <v>161510000</v>
      </c>
      <c r="J191" s="2">
        <f t="shared" si="10"/>
        <v>161510000</v>
      </c>
      <c r="K191" t="b" cm="1">
        <f t="array" ref="K191:Q191">TRANSPOSE(I191&gt;$C$1:$C$7)</f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 t="b">
        <v>1</v>
      </c>
      <c r="R191">
        <f t="shared" si="11"/>
        <v>7</v>
      </c>
      <c r="S191" s="2" cm="1">
        <f t="array" aca="1" ref="S191" ca="1">MAX(0,J191*INDEX($B$1:$B$7,COUNTIF(_xlfn.ANCHORARRAY($K$2),TRUE))-INDEX(_xlfn.ANCHORARRAY($D$1),COUNTIF(_xlfn.ANCHORARRAY($K$2),TRUE)))</f>
        <v>46678500</v>
      </c>
      <c r="T191" s="2">
        <v>16490000</v>
      </c>
      <c r="U191" s="2">
        <f t="shared" ca="1" si="12"/>
        <v>63168500</v>
      </c>
      <c r="V191" s="2">
        <v>32980000</v>
      </c>
      <c r="W191" t="b">
        <f t="shared" ca="1" si="13"/>
        <v>0</v>
      </c>
      <c r="X191" t="b">
        <f t="shared" ca="1" si="14"/>
        <v>0</v>
      </c>
    </row>
    <row r="192" spans="7:24" x14ac:dyDescent="0.25">
      <c r="G192">
        <v>195</v>
      </c>
      <c r="H192" s="2">
        <v>195000000</v>
      </c>
      <c r="I192" s="2">
        <v>162425000</v>
      </c>
      <c r="J192" s="2">
        <f t="shared" si="10"/>
        <v>162425000</v>
      </c>
      <c r="K192" t="b" cm="1">
        <f t="array" ref="K192:Q192">TRANSPOSE(I192&gt;$C$1:$C$7)</f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b">
        <v>1</v>
      </c>
      <c r="R192">
        <f t="shared" si="11"/>
        <v>7</v>
      </c>
      <c r="S192" s="2" cm="1">
        <f t="array" aca="1" ref="S192" ca="1">MAX(0,J192*INDEX($B$1:$B$7,COUNTIF(_xlfn.ANCHORARRAY($K$2),TRUE))-INDEX(_xlfn.ANCHORARRAY($D$1),COUNTIF(_xlfn.ANCHORARRAY($K$2),TRUE)))</f>
        <v>46998750</v>
      </c>
      <c r="T192" s="2">
        <v>16575000</v>
      </c>
      <c r="U192" s="2">
        <f t="shared" ca="1" si="12"/>
        <v>63573750</v>
      </c>
      <c r="V192" s="2">
        <v>33150000</v>
      </c>
      <c r="W192" t="b">
        <f t="shared" ca="1" si="13"/>
        <v>0</v>
      </c>
      <c r="X192" t="b">
        <f t="shared" ca="1" si="14"/>
        <v>0</v>
      </c>
    </row>
    <row r="193" spans="7:24" x14ac:dyDescent="0.25">
      <c r="G193">
        <v>196</v>
      </c>
      <c r="H193" s="2">
        <v>196000000</v>
      </c>
      <c r="I193" s="2">
        <v>163340000</v>
      </c>
      <c r="J193" s="2">
        <f t="shared" si="10"/>
        <v>163340000</v>
      </c>
      <c r="K193" t="b" cm="1">
        <f t="array" ref="K193:Q193">TRANSPOSE(I193&gt;$C$1:$C$7)</f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b">
        <v>1</v>
      </c>
      <c r="R193">
        <f t="shared" si="11"/>
        <v>7</v>
      </c>
      <c r="S193" s="2" cm="1">
        <f t="array" aca="1" ref="S193" ca="1">MAX(0,J193*INDEX($B$1:$B$7,COUNTIF(_xlfn.ANCHORARRAY($K$2),TRUE))-INDEX(_xlfn.ANCHORARRAY($D$1),COUNTIF(_xlfn.ANCHORARRAY($K$2),TRUE)))</f>
        <v>47319000</v>
      </c>
      <c r="T193" s="2">
        <v>16660000</v>
      </c>
      <c r="U193" s="2">
        <f t="shared" ca="1" si="12"/>
        <v>63979000</v>
      </c>
      <c r="V193" s="2">
        <v>33320000</v>
      </c>
      <c r="W193" t="b">
        <f t="shared" ca="1" si="13"/>
        <v>0</v>
      </c>
      <c r="X193" t="b">
        <f t="shared" ca="1" si="14"/>
        <v>0</v>
      </c>
    </row>
    <row r="194" spans="7:24" x14ac:dyDescent="0.25">
      <c r="G194">
        <v>197</v>
      </c>
      <c r="H194" s="2">
        <v>197000000</v>
      </c>
      <c r="I194" s="2">
        <v>164255000</v>
      </c>
      <c r="J194" s="2">
        <f t="shared" si="10"/>
        <v>164255000</v>
      </c>
      <c r="K194" t="b" cm="1">
        <f t="array" ref="K194:Q194">TRANSPOSE(I194&gt;$C$1:$C$7)</f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b">
        <v>1</v>
      </c>
      <c r="R194">
        <f t="shared" si="11"/>
        <v>7</v>
      </c>
      <c r="S194" s="2" cm="1">
        <f t="array" aca="1" ref="S194" ca="1">MAX(0,J194*INDEX($B$1:$B$7,COUNTIF(_xlfn.ANCHORARRAY($K$2),TRUE))-INDEX(_xlfn.ANCHORARRAY($D$1),COUNTIF(_xlfn.ANCHORARRAY($K$2),TRUE)))</f>
        <v>47639250</v>
      </c>
      <c r="T194" s="2">
        <v>16745000</v>
      </c>
      <c r="U194" s="2">
        <f t="shared" ca="1" si="12"/>
        <v>64384250</v>
      </c>
      <c r="V194" s="2">
        <v>33490000</v>
      </c>
      <c r="W194" t="b">
        <f t="shared" ca="1" si="13"/>
        <v>0</v>
      </c>
      <c r="X194" t="b">
        <f t="shared" ca="1" si="14"/>
        <v>0</v>
      </c>
    </row>
    <row r="195" spans="7:24" x14ac:dyDescent="0.25">
      <c r="G195">
        <v>198</v>
      </c>
      <c r="H195" s="2">
        <v>198000000</v>
      </c>
      <c r="I195" s="2">
        <v>165170000.00000003</v>
      </c>
      <c r="J195" s="2">
        <f t="shared" ref="J195:J201" si="15">MAX(0,I195)</f>
        <v>165170000.00000003</v>
      </c>
      <c r="K195" t="b" cm="1">
        <f t="array" ref="K195:Q195">TRANSPOSE(I195&gt;$C$1:$C$7)</f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b">
        <v>1</v>
      </c>
      <c r="R195">
        <f t="shared" ref="R195:R201" si="16">COUNTIF(_xlfn.ANCHORARRAY(K195),TRUE)</f>
        <v>7</v>
      </c>
      <c r="S195" s="2" cm="1">
        <f t="array" aca="1" ref="S195" ca="1">MAX(0,J195*INDEX($B$1:$B$7,COUNTIF(_xlfn.ANCHORARRAY($K$2),TRUE))-INDEX(_xlfn.ANCHORARRAY($D$1),COUNTIF(_xlfn.ANCHORARRAY($K$2),TRUE)))</f>
        <v>47959500.000000007</v>
      </c>
      <c r="T195" s="2">
        <v>16830000</v>
      </c>
      <c r="U195" s="2">
        <f t="shared" ref="U195:U201" ca="1" si="17">SUM(S195:T195)</f>
        <v>64789500.000000007</v>
      </c>
      <c r="V195" s="2">
        <v>33660000</v>
      </c>
      <c r="W195" t="b">
        <f t="shared" ref="W195:W201" ca="1" si="18">U195&lt;V195</f>
        <v>0</v>
      </c>
      <c r="X195" t="b">
        <f t="shared" ref="X195:X201" ca="1" si="19">S195&lt;V195</f>
        <v>0</v>
      </c>
    </row>
    <row r="196" spans="7:24" x14ac:dyDescent="0.25">
      <c r="G196">
        <v>199</v>
      </c>
      <c r="H196" s="2">
        <v>199000000</v>
      </c>
      <c r="I196" s="2">
        <v>166085000</v>
      </c>
      <c r="J196" s="2">
        <f t="shared" si="15"/>
        <v>166085000</v>
      </c>
      <c r="K196" t="b" cm="1">
        <f t="array" ref="K196:Q196">TRANSPOSE(I196&gt;$C$1:$C$7)</f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b">
        <v>1</v>
      </c>
      <c r="R196">
        <f t="shared" si="16"/>
        <v>7</v>
      </c>
      <c r="S196" s="2" cm="1">
        <f t="array" aca="1" ref="S196" ca="1">MAX(0,J196*INDEX($B$1:$B$7,COUNTIF(_xlfn.ANCHORARRAY($K$2),TRUE))-INDEX(_xlfn.ANCHORARRAY($D$1),COUNTIF(_xlfn.ANCHORARRAY($K$2),TRUE)))</f>
        <v>48279750</v>
      </c>
      <c r="T196" s="2">
        <v>16915000</v>
      </c>
      <c r="U196" s="2">
        <f t="shared" ca="1" si="17"/>
        <v>65194750</v>
      </c>
      <c r="V196" s="2">
        <v>33830000</v>
      </c>
      <c r="W196" t="b">
        <f t="shared" ca="1" si="18"/>
        <v>0</v>
      </c>
      <c r="X196" t="b">
        <f t="shared" ca="1" si="19"/>
        <v>0</v>
      </c>
    </row>
    <row r="197" spans="7:24" x14ac:dyDescent="0.25">
      <c r="G197">
        <v>200</v>
      </c>
      <c r="H197" s="2">
        <v>200000000</v>
      </c>
      <c r="I197" s="2">
        <v>167000000</v>
      </c>
      <c r="J197" s="2">
        <f t="shared" si="15"/>
        <v>167000000</v>
      </c>
      <c r="K197" t="b" cm="1">
        <f t="array" ref="K197:Q197">TRANSPOSE(I197&gt;$C$1:$C$7)</f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 t="b">
        <v>1</v>
      </c>
      <c r="R197">
        <f t="shared" si="16"/>
        <v>7</v>
      </c>
      <c r="S197" s="2" cm="1">
        <f t="array" aca="1" ref="S197" ca="1">MAX(0,J197*INDEX($B$1:$B$7,COUNTIF(_xlfn.ANCHORARRAY($K$2),TRUE))-INDEX(_xlfn.ANCHORARRAY($D$1),COUNTIF(_xlfn.ANCHORARRAY($K$2),TRUE)))</f>
        <v>48600000</v>
      </c>
      <c r="T197" s="2">
        <v>17000000</v>
      </c>
      <c r="U197" s="2">
        <f t="shared" ca="1" si="17"/>
        <v>65600000</v>
      </c>
      <c r="V197" s="2">
        <v>34000000</v>
      </c>
      <c r="W197" t="b">
        <f t="shared" ca="1" si="18"/>
        <v>0</v>
      </c>
      <c r="X197" t="b">
        <f t="shared" ca="1" si="19"/>
        <v>0</v>
      </c>
    </row>
    <row r="198" spans="7:24" x14ac:dyDescent="0.25">
      <c r="G198">
        <v>201</v>
      </c>
      <c r="H198" s="2">
        <v>201000000</v>
      </c>
      <c r="I198" s="2">
        <v>167915000</v>
      </c>
      <c r="J198" s="2">
        <f t="shared" si="15"/>
        <v>167915000</v>
      </c>
      <c r="K198" t="b" cm="1">
        <f t="array" ref="K198:Q198">TRANSPOSE(I198&gt;$C$1:$C$7)</f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b">
        <v>1</v>
      </c>
      <c r="R198">
        <f t="shared" si="16"/>
        <v>7</v>
      </c>
      <c r="S198" s="2" cm="1">
        <f t="array" aca="1" ref="S198" ca="1">MAX(0,J198*INDEX($B$1:$B$7,COUNTIF(_xlfn.ANCHORARRAY($K$2),TRUE))-INDEX(_xlfn.ANCHORARRAY($D$1),COUNTIF(_xlfn.ANCHORARRAY($K$2),TRUE)))</f>
        <v>48920249.999999993</v>
      </c>
      <c r="T198" s="2">
        <v>17085000</v>
      </c>
      <c r="U198" s="2">
        <f t="shared" ca="1" si="17"/>
        <v>66005249.999999993</v>
      </c>
      <c r="V198" s="2">
        <v>34170000</v>
      </c>
      <c r="W198" t="b">
        <f t="shared" ca="1" si="18"/>
        <v>0</v>
      </c>
      <c r="X198" t="b">
        <f t="shared" ca="1" si="19"/>
        <v>0</v>
      </c>
    </row>
    <row r="199" spans="7:24" x14ac:dyDescent="0.25">
      <c r="G199">
        <v>202</v>
      </c>
      <c r="H199" s="2">
        <v>202000000</v>
      </c>
      <c r="I199" s="2">
        <v>168829999.99999997</v>
      </c>
      <c r="J199" s="2">
        <f t="shared" si="15"/>
        <v>168829999.99999997</v>
      </c>
      <c r="K199" t="b" cm="1">
        <f t="array" ref="K199:Q199">TRANSPOSE(I199&gt;$C$1:$C$7)</f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 t="b">
        <v>1</v>
      </c>
      <c r="R199">
        <f t="shared" si="16"/>
        <v>7</v>
      </c>
      <c r="S199" s="2" cm="1">
        <f t="array" aca="1" ref="S199" ca="1">MAX(0,J199*INDEX($B$1:$B$7,COUNTIF(_xlfn.ANCHORARRAY($K$2),TRUE))-INDEX(_xlfn.ANCHORARRAY($D$1),COUNTIF(_xlfn.ANCHORARRAY($K$2),TRUE)))</f>
        <v>49240499.999999985</v>
      </c>
      <c r="T199" s="2">
        <v>17170000</v>
      </c>
      <c r="U199" s="2">
        <f t="shared" ca="1" si="17"/>
        <v>66410499.999999985</v>
      </c>
      <c r="V199" s="2">
        <v>34340000</v>
      </c>
      <c r="W199" t="b">
        <f t="shared" ca="1" si="18"/>
        <v>0</v>
      </c>
      <c r="X199" t="b">
        <f t="shared" ca="1" si="19"/>
        <v>0</v>
      </c>
    </row>
    <row r="200" spans="7:24" x14ac:dyDescent="0.25">
      <c r="G200">
        <v>203</v>
      </c>
      <c r="H200" s="2">
        <v>203000000</v>
      </c>
      <c r="I200" s="2">
        <v>169745000</v>
      </c>
      <c r="J200" s="2">
        <f t="shared" si="15"/>
        <v>169745000</v>
      </c>
      <c r="K200" t="b" cm="1">
        <f t="array" ref="K200:Q200">TRANSPOSE(I200&gt;$C$1:$C$7)</f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b">
        <v>1</v>
      </c>
      <c r="R200">
        <f t="shared" si="16"/>
        <v>7</v>
      </c>
      <c r="S200" s="2" cm="1">
        <f t="array" aca="1" ref="S200" ca="1">MAX(0,J200*INDEX($B$1:$B$7,COUNTIF(_xlfn.ANCHORARRAY($K$2),TRUE))-INDEX(_xlfn.ANCHORARRAY($D$1),COUNTIF(_xlfn.ANCHORARRAY($K$2),TRUE)))</f>
        <v>49560749.999999993</v>
      </c>
      <c r="T200" s="2">
        <v>17255000</v>
      </c>
      <c r="U200" s="2">
        <f t="shared" ca="1" si="17"/>
        <v>66815749.999999993</v>
      </c>
      <c r="V200" s="2">
        <v>34510000</v>
      </c>
      <c r="W200" t="b">
        <f t="shared" ca="1" si="18"/>
        <v>0</v>
      </c>
      <c r="X200" t="b">
        <f t="shared" ca="1" si="19"/>
        <v>0</v>
      </c>
    </row>
    <row r="201" spans="7:24" x14ac:dyDescent="0.25">
      <c r="G201">
        <v>204</v>
      </c>
      <c r="H201" s="2">
        <v>204000000</v>
      </c>
      <c r="I201" s="2">
        <v>170660000</v>
      </c>
      <c r="J201" s="2">
        <f t="shared" si="15"/>
        <v>170660000</v>
      </c>
      <c r="K201" t="b" cm="1">
        <f t="array" ref="K201:Q201">TRANSPOSE(I201&gt;$C$1:$C$7)</f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b">
        <v>1</v>
      </c>
      <c r="R201">
        <f t="shared" si="16"/>
        <v>7</v>
      </c>
      <c r="S201" s="2" cm="1">
        <f t="array" aca="1" ref="S201" ca="1">MAX(0,J201*INDEX($B$1:$B$7,COUNTIF(_xlfn.ANCHORARRAY($K$2),TRUE))-INDEX(_xlfn.ANCHORARRAY($D$1),COUNTIF(_xlfn.ANCHORARRAY($K$2),TRUE)))</f>
        <v>49880999.999999993</v>
      </c>
      <c r="T201" s="2">
        <v>17340000</v>
      </c>
      <c r="U201" s="2">
        <f t="shared" ca="1" si="17"/>
        <v>67221000</v>
      </c>
      <c r="V201" s="2">
        <v>34680000</v>
      </c>
      <c r="W201" t="b">
        <f t="shared" ca="1" si="18"/>
        <v>0</v>
      </c>
      <c r="X201" t="b">
        <f t="shared" ca="1" si="19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C1CA7-9575-4FFC-A98E-39FDCE5F495D}">
  <dimension ref="A1:E201"/>
  <sheetViews>
    <sheetView workbookViewId="0">
      <selection activeCell="D3" sqref="D3"/>
    </sheetView>
  </sheetViews>
  <sheetFormatPr defaultRowHeight="13.8" x14ac:dyDescent="0.25"/>
  <cols>
    <col min="1" max="1" width="17.8984375" customWidth="1"/>
    <col min="2" max="2" width="18" customWidth="1"/>
    <col min="3" max="3" width="19.69921875" customWidth="1"/>
    <col min="4" max="4" width="19.19921875" customWidth="1"/>
    <col min="5" max="5" width="27.5" customWidth="1"/>
  </cols>
  <sheetData>
    <row r="1" spans="1:5" x14ac:dyDescent="0.25">
      <c r="A1" t="s">
        <v>10</v>
      </c>
      <c r="B1" t="s">
        <v>14</v>
      </c>
      <c r="C1" s="5" t="s">
        <v>13</v>
      </c>
      <c r="D1" t="s">
        <v>18</v>
      </c>
      <c r="E1" s="2" t="s">
        <v>15</v>
      </c>
    </row>
    <row r="2" spans="1:5" x14ac:dyDescent="0.25">
      <c r="A2" s="3" cm="1">
        <f t="array" ref="A2:A201">_xlfn.ANCHORARRAY('tính toán thêm'!G2)</f>
        <v>5</v>
      </c>
      <c r="B2" s="2" cm="1">
        <f t="array" aca="1" ref="B2:B201" ca="1">OFFSET('tính toán thêm'!S1,1,0,'tính toán thêm'!F2)</f>
        <v>0</v>
      </c>
      <c r="C2" s="2" cm="1">
        <f t="array" ref="C2:C201">_xlfn.ANCHORARRAY('tính toán thêm'!T2)</f>
        <v>425000</v>
      </c>
      <c r="D2" s="2" cm="1">
        <f t="array" aca="1" ref="D2:D201" ca="1">OFFSET('tính toán thêm'!S1,1,2,'tính toán thêm'!F2)</f>
        <v>425000</v>
      </c>
      <c r="E2" s="2" cm="1">
        <f t="array" ref="E2:E201">_xlfn.ANCHORARRAY('tính toán thêm'!V2)</f>
        <v>850000</v>
      </c>
    </row>
    <row r="3" spans="1:5" x14ac:dyDescent="0.25">
      <c r="A3" s="3">
        <v>6</v>
      </c>
      <c r="B3" s="2">
        <f ca="1"/>
        <v>0</v>
      </c>
      <c r="C3" s="2">
        <v>510000</v>
      </c>
      <c r="D3" s="2">
        <f ca="1"/>
        <v>510000</v>
      </c>
      <c r="E3" s="2">
        <v>1020000</v>
      </c>
    </row>
    <row r="4" spans="1:5" x14ac:dyDescent="0.25">
      <c r="A4" s="3">
        <v>7</v>
      </c>
      <c r="B4" s="2">
        <f ca="1"/>
        <v>0</v>
      </c>
      <c r="C4" s="2">
        <v>595000</v>
      </c>
      <c r="D4" s="2">
        <f ca="1"/>
        <v>595000</v>
      </c>
      <c r="E4" s="2">
        <v>1190000</v>
      </c>
    </row>
    <row r="5" spans="1:5" x14ac:dyDescent="0.25">
      <c r="A5" s="3">
        <v>8</v>
      </c>
      <c r="B5" s="2">
        <f ca="1"/>
        <v>0</v>
      </c>
      <c r="C5" s="2">
        <v>680000</v>
      </c>
      <c r="D5" s="2">
        <f ca="1"/>
        <v>680000</v>
      </c>
      <c r="E5" s="2">
        <v>1360000</v>
      </c>
    </row>
    <row r="6" spans="1:5" x14ac:dyDescent="0.25">
      <c r="A6" s="3">
        <v>9</v>
      </c>
      <c r="B6" s="2">
        <f ca="1"/>
        <v>0</v>
      </c>
      <c r="C6" s="2">
        <v>765000</v>
      </c>
      <c r="D6" s="2">
        <f ca="1"/>
        <v>765000</v>
      </c>
      <c r="E6" s="2">
        <v>1530000</v>
      </c>
    </row>
    <row r="7" spans="1:5" x14ac:dyDescent="0.25">
      <c r="A7" s="3">
        <v>10</v>
      </c>
      <c r="B7" s="2">
        <f ca="1"/>
        <v>0</v>
      </c>
      <c r="C7" s="2">
        <v>850000</v>
      </c>
      <c r="D7" s="2">
        <f ca="1"/>
        <v>850000</v>
      </c>
      <c r="E7" s="2">
        <v>1700000</v>
      </c>
    </row>
    <row r="8" spans="1:5" x14ac:dyDescent="0.25">
      <c r="A8" s="3">
        <v>11</v>
      </c>
      <c r="B8" s="2">
        <f ca="1"/>
        <v>0</v>
      </c>
      <c r="C8" s="2">
        <v>935000</v>
      </c>
      <c r="D8" s="2">
        <f ca="1"/>
        <v>935000</v>
      </c>
      <c r="E8" s="2">
        <v>1870000</v>
      </c>
    </row>
    <row r="9" spans="1:5" x14ac:dyDescent="0.25">
      <c r="A9" s="3">
        <v>12</v>
      </c>
      <c r="B9" s="2">
        <f ca="1"/>
        <v>0</v>
      </c>
      <c r="C9" s="2">
        <v>1020000</v>
      </c>
      <c r="D9" s="2">
        <f ca="1"/>
        <v>1020000</v>
      </c>
      <c r="E9" s="2">
        <v>2040000</v>
      </c>
    </row>
    <row r="10" spans="1:5" x14ac:dyDescent="0.25">
      <c r="A10" s="3">
        <v>13</v>
      </c>
      <c r="B10" s="2">
        <f ca="1"/>
        <v>0</v>
      </c>
      <c r="C10" s="2">
        <v>1105000</v>
      </c>
      <c r="D10" s="2">
        <f ca="1"/>
        <v>1105000</v>
      </c>
      <c r="E10" s="2">
        <v>2210000</v>
      </c>
    </row>
    <row r="11" spans="1:5" x14ac:dyDescent="0.25">
      <c r="A11" s="3">
        <v>14</v>
      </c>
      <c r="B11" s="2">
        <f ca="1"/>
        <v>0</v>
      </c>
      <c r="C11" s="2">
        <v>1190000</v>
      </c>
      <c r="D11" s="2">
        <f ca="1"/>
        <v>1190000</v>
      </c>
      <c r="E11" s="2">
        <v>2380000</v>
      </c>
    </row>
    <row r="12" spans="1:5" x14ac:dyDescent="0.25">
      <c r="A12" s="3">
        <v>15</v>
      </c>
      <c r="B12" s="2">
        <f ca="1"/>
        <v>0</v>
      </c>
      <c r="C12" s="2">
        <v>1275000</v>
      </c>
      <c r="D12" s="2">
        <f ca="1"/>
        <v>1275000</v>
      </c>
      <c r="E12" s="2">
        <v>2550000</v>
      </c>
    </row>
    <row r="13" spans="1:5" x14ac:dyDescent="0.25">
      <c r="A13" s="3">
        <v>16</v>
      </c>
      <c r="B13" s="2">
        <f ca="1"/>
        <v>0</v>
      </c>
      <c r="C13" s="2">
        <v>1360000</v>
      </c>
      <c r="D13" s="2">
        <f ca="1"/>
        <v>1360000</v>
      </c>
      <c r="E13" s="2">
        <v>2720000</v>
      </c>
    </row>
    <row r="14" spans="1:5" x14ac:dyDescent="0.25">
      <c r="A14" s="3">
        <v>17</v>
      </c>
      <c r="B14" s="2">
        <f ca="1"/>
        <v>0</v>
      </c>
      <c r="C14" s="2">
        <v>1445000</v>
      </c>
      <c r="D14" s="2">
        <f ca="1"/>
        <v>1445000</v>
      </c>
      <c r="E14" s="2">
        <v>2890000</v>
      </c>
    </row>
    <row r="15" spans="1:5" x14ac:dyDescent="0.25">
      <c r="A15" s="3">
        <v>18</v>
      </c>
      <c r="B15" s="2">
        <f ca="1"/>
        <v>23500</v>
      </c>
      <c r="C15" s="2">
        <v>1530000</v>
      </c>
      <c r="D15" s="2">
        <f ca="1"/>
        <v>1553500</v>
      </c>
      <c r="E15" s="2">
        <v>3060000</v>
      </c>
    </row>
    <row r="16" spans="1:5" x14ac:dyDescent="0.25">
      <c r="A16" s="3">
        <v>19</v>
      </c>
      <c r="B16" s="2">
        <f ca="1"/>
        <v>69250</v>
      </c>
      <c r="C16" s="2">
        <v>1615000</v>
      </c>
      <c r="D16" s="2">
        <f ca="1"/>
        <v>1684250</v>
      </c>
      <c r="E16" s="2">
        <v>3230000</v>
      </c>
    </row>
    <row r="17" spans="1:5" x14ac:dyDescent="0.25">
      <c r="A17" s="3">
        <v>20</v>
      </c>
      <c r="B17" s="2">
        <f ca="1"/>
        <v>115000</v>
      </c>
      <c r="C17" s="2">
        <v>1700000</v>
      </c>
      <c r="D17" s="2">
        <f ca="1"/>
        <v>1815000</v>
      </c>
      <c r="E17" s="2">
        <v>3400000</v>
      </c>
    </row>
    <row r="18" spans="1:5" x14ac:dyDescent="0.25">
      <c r="A18" s="3">
        <v>21</v>
      </c>
      <c r="B18" s="2">
        <f ca="1"/>
        <v>160750</v>
      </c>
      <c r="C18" s="2">
        <v>1785000</v>
      </c>
      <c r="D18" s="2">
        <f ca="1"/>
        <v>1945750</v>
      </c>
      <c r="E18" s="2">
        <v>3570000</v>
      </c>
    </row>
    <row r="19" spans="1:5" x14ac:dyDescent="0.25">
      <c r="A19" s="3">
        <v>22</v>
      </c>
      <c r="B19" s="2">
        <f ca="1"/>
        <v>206500</v>
      </c>
      <c r="C19" s="2">
        <v>1870000</v>
      </c>
      <c r="D19" s="2">
        <f ca="1"/>
        <v>2076500</v>
      </c>
      <c r="E19" s="2">
        <v>3740000</v>
      </c>
    </row>
    <row r="20" spans="1:5" x14ac:dyDescent="0.25">
      <c r="A20" s="3">
        <v>23</v>
      </c>
      <c r="B20" s="2">
        <f ca="1"/>
        <v>254500</v>
      </c>
      <c r="C20" s="2">
        <v>1955000</v>
      </c>
      <c r="D20" s="2">
        <f ca="1"/>
        <v>2209500</v>
      </c>
      <c r="E20" s="2">
        <v>3910000</v>
      </c>
    </row>
    <row r="21" spans="1:5" x14ac:dyDescent="0.25">
      <c r="A21" s="3">
        <v>24</v>
      </c>
      <c r="B21" s="2">
        <f ca="1"/>
        <v>346000</v>
      </c>
      <c r="C21" s="2">
        <v>2040000</v>
      </c>
      <c r="D21" s="2">
        <f ca="1"/>
        <v>2386000</v>
      </c>
      <c r="E21" s="2">
        <v>4080000</v>
      </c>
    </row>
    <row r="22" spans="1:5" x14ac:dyDescent="0.25">
      <c r="A22" s="3">
        <v>25</v>
      </c>
      <c r="B22" s="2">
        <f ca="1"/>
        <v>437500</v>
      </c>
      <c r="C22" s="2">
        <v>2125000</v>
      </c>
      <c r="D22" s="2">
        <f ca="1"/>
        <v>2562500</v>
      </c>
      <c r="E22" s="2">
        <v>4250000</v>
      </c>
    </row>
    <row r="23" spans="1:5" x14ac:dyDescent="0.25">
      <c r="A23" s="3">
        <v>26</v>
      </c>
      <c r="B23" s="2">
        <f ca="1"/>
        <v>529000</v>
      </c>
      <c r="C23" s="2">
        <v>2210000</v>
      </c>
      <c r="D23" s="2">
        <f ca="1"/>
        <v>2739000</v>
      </c>
      <c r="E23" s="2">
        <v>4420000</v>
      </c>
    </row>
    <row r="24" spans="1:5" x14ac:dyDescent="0.25">
      <c r="A24" s="3">
        <v>27</v>
      </c>
      <c r="B24" s="2">
        <f ca="1"/>
        <v>620500</v>
      </c>
      <c r="C24" s="2">
        <v>2295000</v>
      </c>
      <c r="D24" s="2">
        <f ca="1"/>
        <v>2915500</v>
      </c>
      <c r="E24" s="2">
        <v>4590000</v>
      </c>
    </row>
    <row r="25" spans="1:5" x14ac:dyDescent="0.25">
      <c r="A25" s="3">
        <v>28</v>
      </c>
      <c r="B25" s="2">
        <f ca="1"/>
        <v>712000.00000000023</v>
      </c>
      <c r="C25" s="2">
        <v>2380000</v>
      </c>
      <c r="D25" s="2">
        <f ca="1"/>
        <v>3092000</v>
      </c>
      <c r="E25" s="2">
        <v>4760000</v>
      </c>
    </row>
    <row r="26" spans="1:5" x14ac:dyDescent="0.25">
      <c r="A26" s="3">
        <v>29</v>
      </c>
      <c r="B26" s="2">
        <f ca="1"/>
        <v>830250</v>
      </c>
      <c r="C26" s="2">
        <v>2465000</v>
      </c>
      <c r="D26" s="2">
        <f ca="1"/>
        <v>3295250</v>
      </c>
      <c r="E26" s="2">
        <v>4930000</v>
      </c>
    </row>
    <row r="27" spans="1:5" x14ac:dyDescent="0.25">
      <c r="A27" s="3">
        <v>30</v>
      </c>
      <c r="B27" s="2">
        <f ca="1"/>
        <v>967500</v>
      </c>
      <c r="C27" s="2">
        <v>2550000</v>
      </c>
      <c r="D27" s="2">
        <f ca="1"/>
        <v>3517500</v>
      </c>
      <c r="E27" s="2">
        <v>5100000</v>
      </c>
    </row>
    <row r="28" spans="1:5" x14ac:dyDescent="0.25">
      <c r="A28" s="3">
        <v>31</v>
      </c>
      <c r="B28" s="2">
        <f ca="1"/>
        <v>1104750</v>
      </c>
      <c r="C28" s="2">
        <v>2635000</v>
      </c>
      <c r="D28" s="2">
        <f ca="1"/>
        <v>3739750</v>
      </c>
      <c r="E28" s="2">
        <v>5270000</v>
      </c>
    </row>
    <row r="29" spans="1:5" x14ac:dyDescent="0.25">
      <c r="A29" s="3">
        <v>32</v>
      </c>
      <c r="B29" s="2">
        <f ca="1"/>
        <v>1242000</v>
      </c>
      <c r="C29" s="2">
        <v>2720000</v>
      </c>
      <c r="D29" s="2">
        <f ca="1"/>
        <v>3962000</v>
      </c>
      <c r="E29" s="2">
        <v>5440000</v>
      </c>
    </row>
    <row r="30" spans="1:5" x14ac:dyDescent="0.25">
      <c r="A30" s="3">
        <v>33</v>
      </c>
      <c r="B30" s="2">
        <f ca="1"/>
        <v>1379250</v>
      </c>
      <c r="C30" s="2">
        <v>2805000</v>
      </c>
      <c r="D30" s="2">
        <f ca="1"/>
        <v>4184250</v>
      </c>
      <c r="E30" s="2">
        <v>5610000</v>
      </c>
    </row>
    <row r="31" spans="1:5" x14ac:dyDescent="0.25">
      <c r="A31" s="3">
        <v>34</v>
      </c>
      <c r="B31" s="2">
        <f ca="1"/>
        <v>1516500</v>
      </c>
      <c r="C31" s="2">
        <v>2890000</v>
      </c>
      <c r="D31" s="2">
        <f ca="1"/>
        <v>4406500</v>
      </c>
      <c r="E31" s="2">
        <v>5780000</v>
      </c>
    </row>
    <row r="32" spans="1:5" x14ac:dyDescent="0.25">
      <c r="A32" s="3">
        <v>35</v>
      </c>
      <c r="B32" s="2">
        <f ca="1"/>
        <v>1653749.9999999995</v>
      </c>
      <c r="C32" s="2">
        <v>2975000</v>
      </c>
      <c r="D32" s="2">
        <f ca="1"/>
        <v>4628750</v>
      </c>
      <c r="E32" s="2">
        <v>5950000</v>
      </c>
    </row>
    <row r="33" spans="1:5" x14ac:dyDescent="0.25">
      <c r="A33" s="3">
        <v>36</v>
      </c>
      <c r="B33" s="2">
        <f ca="1"/>
        <v>1791000</v>
      </c>
      <c r="C33" s="2">
        <v>3060000</v>
      </c>
      <c r="D33" s="2">
        <f ca="1"/>
        <v>4851000</v>
      </c>
      <c r="E33" s="2">
        <v>6120000</v>
      </c>
    </row>
    <row r="34" spans="1:5" x14ac:dyDescent="0.25">
      <c r="A34" s="3">
        <v>37</v>
      </c>
      <c r="B34" s="2">
        <f ca="1"/>
        <v>1928250</v>
      </c>
      <c r="C34" s="2">
        <v>3145000</v>
      </c>
      <c r="D34" s="2">
        <f ca="1"/>
        <v>5073250</v>
      </c>
      <c r="E34" s="2">
        <v>6290000</v>
      </c>
    </row>
    <row r="35" spans="1:5" x14ac:dyDescent="0.25">
      <c r="A35" s="3">
        <v>38</v>
      </c>
      <c r="B35" s="2">
        <f ca="1"/>
        <v>2104000</v>
      </c>
      <c r="C35" s="2">
        <v>3230000</v>
      </c>
      <c r="D35" s="2">
        <f ca="1"/>
        <v>5334000</v>
      </c>
      <c r="E35" s="2">
        <v>6460000</v>
      </c>
    </row>
    <row r="36" spans="1:5" x14ac:dyDescent="0.25">
      <c r="A36" s="3">
        <v>39</v>
      </c>
      <c r="B36" s="2">
        <f ca="1"/>
        <v>2287000</v>
      </c>
      <c r="C36" s="2">
        <v>3315000</v>
      </c>
      <c r="D36" s="2">
        <f ca="1"/>
        <v>5602000</v>
      </c>
      <c r="E36" s="2">
        <v>6630000</v>
      </c>
    </row>
    <row r="37" spans="1:5" x14ac:dyDescent="0.25">
      <c r="A37" s="3">
        <v>40</v>
      </c>
      <c r="B37" s="2">
        <f ca="1"/>
        <v>2470000</v>
      </c>
      <c r="C37" s="2">
        <v>3400000</v>
      </c>
      <c r="D37" s="2">
        <f ca="1"/>
        <v>5870000</v>
      </c>
      <c r="E37" s="2">
        <v>6800000</v>
      </c>
    </row>
    <row r="38" spans="1:5" x14ac:dyDescent="0.25">
      <c r="A38" s="3">
        <v>41</v>
      </c>
      <c r="B38" s="2">
        <f ca="1"/>
        <v>2653000</v>
      </c>
      <c r="C38" s="2">
        <v>3485000</v>
      </c>
      <c r="D38" s="2">
        <f ca="1"/>
        <v>6138000</v>
      </c>
      <c r="E38" s="2">
        <v>6970000</v>
      </c>
    </row>
    <row r="39" spans="1:5" x14ac:dyDescent="0.25">
      <c r="A39" s="3">
        <v>42</v>
      </c>
      <c r="B39" s="2">
        <f ca="1"/>
        <v>2836000</v>
      </c>
      <c r="C39" s="2">
        <v>3570000</v>
      </c>
      <c r="D39" s="2">
        <f ca="1"/>
        <v>6406000</v>
      </c>
      <c r="E39" s="2">
        <v>7140000</v>
      </c>
    </row>
    <row r="40" spans="1:5" x14ac:dyDescent="0.25">
      <c r="A40" s="3">
        <v>43</v>
      </c>
      <c r="B40" s="2">
        <f ca="1"/>
        <v>3019000</v>
      </c>
      <c r="C40" s="2">
        <v>3655000</v>
      </c>
      <c r="D40" s="2">
        <f ca="1"/>
        <v>6674000</v>
      </c>
      <c r="E40" s="2">
        <v>7310000</v>
      </c>
    </row>
    <row r="41" spans="1:5" x14ac:dyDescent="0.25">
      <c r="A41" s="3">
        <v>44</v>
      </c>
      <c r="B41" s="2">
        <f ca="1"/>
        <v>3201999.9999999991</v>
      </c>
      <c r="C41" s="2">
        <v>3740000</v>
      </c>
      <c r="D41" s="2">
        <f ca="1"/>
        <v>6941999.9999999991</v>
      </c>
      <c r="E41" s="2">
        <v>7480000</v>
      </c>
    </row>
    <row r="42" spans="1:5" x14ac:dyDescent="0.25">
      <c r="A42" s="3">
        <v>45</v>
      </c>
      <c r="B42" s="2">
        <f ca="1"/>
        <v>3385000</v>
      </c>
      <c r="C42" s="2">
        <v>3825000</v>
      </c>
      <c r="D42" s="2">
        <f ca="1"/>
        <v>7210000</v>
      </c>
      <c r="E42" s="2">
        <v>7650000</v>
      </c>
    </row>
    <row r="43" spans="1:5" x14ac:dyDescent="0.25">
      <c r="A43" s="3">
        <v>46</v>
      </c>
      <c r="B43" s="2">
        <f ca="1"/>
        <v>3568000</v>
      </c>
      <c r="C43" s="2">
        <v>3910000</v>
      </c>
      <c r="D43" s="2">
        <f ca="1"/>
        <v>7478000</v>
      </c>
      <c r="E43" s="2">
        <v>7820000</v>
      </c>
    </row>
    <row r="44" spans="1:5" x14ac:dyDescent="0.25">
      <c r="A44" s="3">
        <v>47</v>
      </c>
      <c r="B44" s="2">
        <f ca="1"/>
        <v>3751000</v>
      </c>
      <c r="C44" s="2">
        <v>3995000</v>
      </c>
      <c r="D44" s="2">
        <f ca="1"/>
        <v>7746000</v>
      </c>
      <c r="E44" s="2">
        <v>7990000</v>
      </c>
    </row>
    <row r="45" spans="1:5" x14ac:dyDescent="0.25">
      <c r="A45" s="3">
        <v>48</v>
      </c>
      <c r="B45" s="2">
        <f ca="1"/>
        <v>3934000</v>
      </c>
      <c r="C45" s="2">
        <v>4080000</v>
      </c>
      <c r="D45" s="2">
        <f ca="1"/>
        <v>8014000</v>
      </c>
      <c r="E45" s="2">
        <v>8160000</v>
      </c>
    </row>
    <row r="46" spans="1:5" x14ac:dyDescent="0.25">
      <c r="A46" s="3">
        <v>49</v>
      </c>
      <c r="B46" s="2">
        <f ca="1"/>
        <v>4117000</v>
      </c>
      <c r="C46" s="2">
        <v>4165000</v>
      </c>
      <c r="D46" s="2">
        <f ca="1"/>
        <v>8282000</v>
      </c>
      <c r="E46" s="2">
        <v>8330000</v>
      </c>
    </row>
    <row r="47" spans="1:5" x14ac:dyDescent="0.25">
      <c r="A47" s="3">
        <v>50</v>
      </c>
      <c r="B47" s="2">
        <f ca="1"/>
        <v>4300000</v>
      </c>
      <c r="C47" s="2">
        <v>4250000</v>
      </c>
      <c r="D47" s="2">
        <f ca="1"/>
        <v>8550000</v>
      </c>
      <c r="E47" s="2">
        <v>8500000</v>
      </c>
    </row>
    <row r="48" spans="1:5" x14ac:dyDescent="0.25">
      <c r="A48" s="3">
        <v>51</v>
      </c>
      <c r="B48" s="2">
        <f ca="1"/>
        <v>4483000</v>
      </c>
      <c r="C48" s="2">
        <v>4335000</v>
      </c>
      <c r="D48" s="2">
        <f ca="1"/>
        <v>8818000</v>
      </c>
      <c r="E48" s="2">
        <v>8670000</v>
      </c>
    </row>
    <row r="49" spans="1:5" x14ac:dyDescent="0.25">
      <c r="A49" s="3">
        <v>52</v>
      </c>
      <c r="B49" s="2">
        <f ca="1"/>
        <v>4666000</v>
      </c>
      <c r="C49" s="2">
        <v>4420000</v>
      </c>
      <c r="D49" s="2">
        <f ca="1"/>
        <v>9086000</v>
      </c>
      <c r="E49" s="2">
        <v>8840000</v>
      </c>
    </row>
    <row r="50" spans="1:5" x14ac:dyDescent="0.25">
      <c r="A50" s="3">
        <v>53</v>
      </c>
      <c r="B50" s="2">
        <f ca="1"/>
        <v>4873749.9999999991</v>
      </c>
      <c r="C50" s="2">
        <v>4505000</v>
      </c>
      <c r="D50" s="2">
        <f ca="1"/>
        <v>9378750</v>
      </c>
      <c r="E50" s="2">
        <v>9010000</v>
      </c>
    </row>
    <row r="51" spans="1:5" x14ac:dyDescent="0.25">
      <c r="A51" s="3">
        <v>54</v>
      </c>
      <c r="B51" s="2">
        <f ca="1"/>
        <v>5102499.9999999991</v>
      </c>
      <c r="C51" s="2">
        <v>4590000</v>
      </c>
      <c r="D51" s="2">
        <f ca="1"/>
        <v>9692500</v>
      </c>
      <c r="E51" s="2">
        <v>9180000</v>
      </c>
    </row>
    <row r="52" spans="1:5" x14ac:dyDescent="0.25">
      <c r="A52" s="3">
        <v>55</v>
      </c>
      <c r="B52" s="2">
        <f ca="1"/>
        <v>5331250</v>
      </c>
      <c r="C52" s="2">
        <v>4675000</v>
      </c>
      <c r="D52" s="2">
        <f ca="1"/>
        <v>10006250</v>
      </c>
      <c r="E52" s="2">
        <v>9350000</v>
      </c>
    </row>
    <row r="53" spans="1:5" x14ac:dyDescent="0.25">
      <c r="A53" s="3">
        <v>56</v>
      </c>
      <c r="B53" s="2">
        <f ca="1"/>
        <v>5560000</v>
      </c>
      <c r="C53" s="2">
        <v>4760000</v>
      </c>
      <c r="D53" s="2">
        <f ca="1"/>
        <v>10320000</v>
      </c>
      <c r="E53" s="2">
        <v>9520000</v>
      </c>
    </row>
    <row r="54" spans="1:5" x14ac:dyDescent="0.25">
      <c r="A54" s="3">
        <v>57</v>
      </c>
      <c r="B54" s="2">
        <f ca="1"/>
        <v>5788750</v>
      </c>
      <c r="C54" s="2">
        <v>4845000</v>
      </c>
      <c r="D54" s="2">
        <f ca="1"/>
        <v>10633750</v>
      </c>
      <c r="E54" s="2">
        <v>9690000</v>
      </c>
    </row>
    <row r="55" spans="1:5" x14ac:dyDescent="0.25">
      <c r="A55" s="3">
        <v>58</v>
      </c>
      <c r="B55" s="2">
        <f ca="1"/>
        <v>6017500</v>
      </c>
      <c r="C55" s="2">
        <v>4930000</v>
      </c>
      <c r="D55" s="2">
        <f ca="1"/>
        <v>10947500</v>
      </c>
      <c r="E55" s="2">
        <v>9860000</v>
      </c>
    </row>
    <row r="56" spans="1:5" x14ac:dyDescent="0.25">
      <c r="A56" s="3">
        <v>59</v>
      </c>
      <c r="B56" s="2">
        <f ca="1"/>
        <v>6246250</v>
      </c>
      <c r="C56" s="2">
        <v>5015000</v>
      </c>
      <c r="D56" s="2">
        <f ca="1"/>
        <v>11261250</v>
      </c>
      <c r="E56" s="2">
        <v>10030000</v>
      </c>
    </row>
    <row r="57" spans="1:5" x14ac:dyDescent="0.25">
      <c r="A57" s="3">
        <v>60</v>
      </c>
      <c r="B57" s="2">
        <f ca="1"/>
        <v>6475000</v>
      </c>
      <c r="C57" s="2">
        <v>5100000</v>
      </c>
      <c r="D57" s="2">
        <f ca="1"/>
        <v>11575000</v>
      </c>
      <c r="E57" s="2">
        <v>10200000</v>
      </c>
    </row>
    <row r="58" spans="1:5" x14ac:dyDescent="0.25">
      <c r="A58" s="3">
        <v>61</v>
      </c>
      <c r="B58" s="2">
        <f ca="1"/>
        <v>6703750</v>
      </c>
      <c r="C58" s="2">
        <v>5185000</v>
      </c>
      <c r="D58" s="2">
        <f ca="1"/>
        <v>11888750</v>
      </c>
      <c r="E58" s="2">
        <v>10370000</v>
      </c>
    </row>
    <row r="59" spans="1:5" x14ac:dyDescent="0.25">
      <c r="A59" s="3">
        <v>62</v>
      </c>
      <c r="B59" s="2">
        <f ca="1"/>
        <v>6932500.0000000019</v>
      </c>
      <c r="C59" s="2">
        <v>5270000</v>
      </c>
      <c r="D59" s="2">
        <f ca="1"/>
        <v>12202500.000000002</v>
      </c>
      <c r="E59" s="2">
        <v>10540000</v>
      </c>
    </row>
    <row r="60" spans="1:5" x14ac:dyDescent="0.25">
      <c r="A60" s="3">
        <v>63</v>
      </c>
      <c r="B60" s="2">
        <f ca="1"/>
        <v>7161249.9999999981</v>
      </c>
      <c r="C60" s="2">
        <v>5355000</v>
      </c>
      <c r="D60" s="2">
        <f ca="1"/>
        <v>12516249.999999998</v>
      </c>
      <c r="E60" s="2">
        <v>10710000</v>
      </c>
    </row>
    <row r="61" spans="1:5" x14ac:dyDescent="0.25">
      <c r="A61" s="3">
        <v>64</v>
      </c>
      <c r="B61" s="2">
        <f ca="1"/>
        <v>7390000</v>
      </c>
      <c r="C61" s="2">
        <v>5440000</v>
      </c>
      <c r="D61" s="2">
        <f ca="1"/>
        <v>12830000</v>
      </c>
      <c r="E61" s="2">
        <v>10880000</v>
      </c>
    </row>
    <row r="62" spans="1:5" x14ac:dyDescent="0.25">
      <c r="A62" s="3">
        <v>65</v>
      </c>
      <c r="B62" s="2">
        <f ca="1"/>
        <v>7618750</v>
      </c>
      <c r="C62" s="2">
        <v>5525000</v>
      </c>
      <c r="D62" s="2">
        <f ca="1"/>
        <v>13143750</v>
      </c>
      <c r="E62" s="2">
        <v>11050000</v>
      </c>
    </row>
    <row r="63" spans="1:5" x14ac:dyDescent="0.25">
      <c r="A63" s="3">
        <v>66</v>
      </c>
      <c r="B63" s="2">
        <f ca="1"/>
        <v>7847500</v>
      </c>
      <c r="C63" s="2">
        <v>5610000</v>
      </c>
      <c r="D63" s="2">
        <f ca="1"/>
        <v>13457500</v>
      </c>
      <c r="E63" s="2">
        <v>11220000</v>
      </c>
    </row>
    <row r="64" spans="1:5" x14ac:dyDescent="0.25">
      <c r="A64" s="3">
        <v>67</v>
      </c>
      <c r="B64" s="2">
        <f ca="1"/>
        <v>8076250</v>
      </c>
      <c r="C64" s="2">
        <v>5695000</v>
      </c>
      <c r="D64" s="2">
        <f ca="1"/>
        <v>13771250</v>
      </c>
      <c r="E64" s="2">
        <v>11390000</v>
      </c>
    </row>
    <row r="65" spans="1:5" x14ac:dyDescent="0.25">
      <c r="A65" s="3">
        <v>68</v>
      </c>
      <c r="B65" s="2">
        <f ca="1"/>
        <v>8305000</v>
      </c>
      <c r="C65" s="2">
        <v>5780000</v>
      </c>
      <c r="D65" s="2">
        <f ca="1"/>
        <v>14085000</v>
      </c>
      <c r="E65" s="2">
        <v>11560000</v>
      </c>
    </row>
    <row r="66" spans="1:5" x14ac:dyDescent="0.25">
      <c r="A66" s="3">
        <v>69</v>
      </c>
      <c r="B66" s="2">
        <f ca="1"/>
        <v>8533750</v>
      </c>
      <c r="C66" s="2">
        <v>5865000</v>
      </c>
      <c r="D66" s="2">
        <f ca="1"/>
        <v>14398750</v>
      </c>
      <c r="E66" s="2">
        <v>11730000</v>
      </c>
    </row>
    <row r="67" spans="1:5" x14ac:dyDescent="0.25">
      <c r="A67" s="3">
        <v>70</v>
      </c>
      <c r="B67" s="2">
        <f ca="1"/>
        <v>8762500</v>
      </c>
      <c r="C67" s="2">
        <v>5950000</v>
      </c>
      <c r="D67" s="2">
        <f ca="1"/>
        <v>14712500</v>
      </c>
      <c r="E67" s="2">
        <v>11900000</v>
      </c>
    </row>
    <row r="68" spans="1:5" x14ac:dyDescent="0.25">
      <c r="A68" s="3">
        <v>71</v>
      </c>
      <c r="B68" s="2">
        <f ca="1"/>
        <v>8991250</v>
      </c>
      <c r="C68" s="2">
        <v>6035000</v>
      </c>
      <c r="D68" s="2">
        <f ca="1"/>
        <v>15026250</v>
      </c>
      <c r="E68" s="2">
        <v>12070000</v>
      </c>
    </row>
    <row r="69" spans="1:5" x14ac:dyDescent="0.25">
      <c r="A69" s="3">
        <v>72</v>
      </c>
      <c r="B69" s="2">
        <f ca="1"/>
        <v>9220000</v>
      </c>
      <c r="C69" s="2">
        <v>6120000</v>
      </c>
      <c r="D69" s="2">
        <f ca="1"/>
        <v>15340000</v>
      </c>
      <c r="E69" s="2">
        <v>12240000</v>
      </c>
    </row>
    <row r="70" spans="1:5" x14ac:dyDescent="0.25">
      <c r="A70" s="3">
        <v>73</v>
      </c>
      <c r="B70" s="2">
        <f ca="1"/>
        <v>9448750</v>
      </c>
      <c r="C70" s="2">
        <v>6205000</v>
      </c>
      <c r="D70" s="2">
        <f ca="1"/>
        <v>15653750</v>
      </c>
      <c r="E70" s="2">
        <v>12410000</v>
      </c>
    </row>
    <row r="71" spans="1:5" x14ac:dyDescent="0.25">
      <c r="A71" s="3">
        <v>74</v>
      </c>
      <c r="B71" s="2">
        <f ca="1"/>
        <v>9677500</v>
      </c>
      <c r="C71" s="2">
        <v>6290000</v>
      </c>
      <c r="D71" s="2">
        <f ca="1"/>
        <v>15967500</v>
      </c>
      <c r="E71" s="2">
        <v>12580000</v>
      </c>
    </row>
    <row r="72" spans="1:5" x14ac:dyDescent="0.25">
      <c r="A72" s="3">
        <v>75</v>
      </c>
      <c r="B72" s="2">
        <f ca="1"/>
        <v>9937500</v>
      </c>
      <c r="C72" s="2">
        <v>6375000</v>
      </c>
      <c r="D72" s="2">
        <f ca="1"/>
        <v>16312500</v>
      </c>
      <c r="E72" s="2">
        <v>12750000</v>
      </c>
    </row>
    <row r="73" spans="1:5" x14ac:dyDescent="0.25">
      <c r="A73" s="3">
        <v>76</v>
      </c>
      <c r="B73" s="2">
        <f ca="1"/>
        <v>10212000</v>
      </c>
      <c r="C73" s="2">
        <v>6460000</v>
      </c>
      <c r="D73" s="2">
        <f ca="1"/>
        <v>16672000</v>
      </c>
      <c r="E73" s="2">
        <v>12920000</v>
      </c>
    </row>
    <row r="74" spans="1:5" x14ac:dyDescent="0.25">
      <c r="A74" s="3">
        <v>77</v>
      </c>
      <c r="B74" s="2">
        <f ca="1"/>
        <v>10486500</v>
      </c>
      <c r="C74" s="2">
        <v>6545000</v>
      </c>
      <c r="D74" s="2">
        <f ca="1"/>
        <v>17031500</v>
      </c>
      <c r="E74" s="2">
        <v>13090000</v>
      </c>
    </row>
    <row r="75" spans="1:5" x14ac:dyDescent="0.25">
      <c r="A75" s="3">
        <v>78</v>
      </c>
      <c r="B75" s="2">
        <f ca="1"/>
        <v>10761000</v>
      </c>
      <c r="C75" s="2">
        <v>6630000</v>
      </c>
      <c r="D75" s="2">
        <f ca="1"/>
        <v>17391000</v>
      </c>
      <c r="E75" s="2">
        <v>13260000</v>
      </c>
    </row>
    <row r="76" spans="1:5" x14ac:dyDescent="0.25">
      <c r="A76" s="3">
        <v>79</v>
      </c>
      <c r="B76" s="2">
        <f ca="1"/>
        <v>11035500</v>
      </c>
      <c r="C76" s="2">
        <v>6715000</v>
      </c>
      <c r="D76" s="2">
        <f ca="1"/>
        <v>17750500</v>
      </c>
      <c r="E76" s="2">
        <v>13430000</v>
      </c>
    </row>
    <row r="77" spans="1:5" x14ac:dyDescent="0.25">
      <c r="A77" s="3">
        <v>80</v>
      </c>
      <c r="B77" s="2">
        <f ca="1"/>
        <v>11310000</v>
      </c>
      <c r="C77" s="2">
        <v>6800000</v>
      </c>
      <c r="D77" s="2">
        <f ca="1"/>
        <v>18110000</v>
      </c>
      <c r="E77" s="2">
        <v>13600000</v>
      </c>
    </row>
    <row r="78" spans="1:5" x14ac:dyDescent="0.25">
      <c r="A78" s="3">
        <v>81</v>
      </c>
      <c r="B78" s="2">
        <f ca="1"/>
        <v>11584500</v>
      </c>
      <c r="C78" s="2">
        <v>6885000</v>
      </c>
      <c r="D78" s="2">
        <f ca="1"/>
        <v>18469500</v>
      </c>
      <c r="E78" s="2">
        <v>13770000</v>
      </c>
    </row>
    <row r="79" spans="1:5" x14ac:dyDescent="0.25">
      <c r="A79" s="3">
        <v>82</v>
      </c>
      <c r="B79" s="2">
        <f ca="1"/>
        <v>11859000</v>
      </c>
      <c r="C79" s="2">
        <v>6970000</v>
      </c>
      <c r="D79" s="2">
        <f ca="1"/>
        <v>18829000</v>
      </c>
      <c r="E79" s="2">
        <v>13940000</v>
      </c>
    </row>
    <row r="80" spans="1:5" x14ac:dyDescent="0.25">
      <c r="A80" s="3">
        <v>83</v>
      </c>
      <c r="B80" s="2">
        <f ca="1"/>
        <v>12133500</v>
      </c>
      <c r="C80" s="2">
        <v>7055000</v>
      </c>
      <c r="D80" s="2">
        <f ca="1"/>
        <v>19188500</v>
      </c>
      <c r="E80" s="2">
        <v>14110000</v>
      </c>
    </row>
    <row r="81" spans="1:5" x14ac:dyDescent="0.25">
      <c r="A81" s="3">
        <v>84</v>
      </c>
      <c r="B81" s="2">
        <f ca="1"/>
        <v>12408000</v>
      </c>
      <c r="C81" s="2">
        <v>7140000</v>
      </c>
      <c r="D81" s="2">
        <f ca="1"/>
        <v>19548000</v>
      </c>
      <c r="E81" s="2">
        <v>14280000</v>
      </c>
    </row>
    <row r="82" spans="1:5" x14ac:dyDescent="0.25">
      <c r="A82" s="3">
        <v>85</v>
      </c>
      <c r="B82" s="2">
        <f ca="1"/>
        <v>12682500</v>
      </c>
      <c r="C82" s="2">
        <v>7225000</v>
      </c>
      <c r="D82" s="2">
        <f ca="1"/>
        <v>19907500</v>
      </c>
      <c r="E82" s="2">
        <v>14450000</v>
      </c>
    </row>
    <row r="83" spans="1:5" x14ac:dyDescent="0.25">
      <c r="A83" s="3">
        <v>86</v>
      </c>
      <c r="B83" s="2">
        <f ca="1"/>
        <v>12957000</v>
      </c>
      <c r="C83" s="2">
        <v>7310000</v>
      </c>
      <c r="D83" s="2">
        <f ca="1"/>
        <v>20267000</v>
      </c>
      <c r="E83" s="2">
        <v>14620000</v>
      </c>
    </row>
    <row r="84" spans="1:5" x14ac:dyDescent="0.25">
      <c r="A84" s="3">
        <v>87</v>
      </c>
      <c r="B84" s="2">
        <f ca="1"/>
        <v>13231500</v>
      </c>
      <c r="C84" s="2">
        <v>7395000</v>
      </c>
      <c r="D84" s="2">
        <f ca="1"/>
        <v>20626500</v>
      </c>
      <c r="E84" s="2">
        <v>14790000</v>
      </c>
    </row>
    <row r="85" spans="1:5" x14ac:dyDescent="0.25">
      <c r="A85" s="3">
        <v>88</v>
      </c>
      <c r="B85" s="2">
        <f ca="1"/>
        <v>13505999.999999996</v>
      </c>
      <c r="C85" s="2">
        <v>7480000</v>
      </c>
      <c r="D85" s="2">
        <f ca="1"/>
        <v>20985999.999999996</v>
      </c>
      <c r="E85" s="2">
        <v>14960000</v>
      </c>
    </row>
    <row r="86" spans="1:5" x14ac:dyDescent="0.25">
      <c r="A86" s="3">
        <v>89</v>
      </c>
      <c r="B86" s="2">
        <f ca="1"/>
        <v>13780500</v>
      </c>
      <c r="C86" s="2">
        <v>7565000</v>
      </c>
      <c r="D86" s="2">
        <f ca="1"/>
        <v>21345500</v>
      </c>
      <c r="E86" s="2">
        <v>15130000</v>
      </c>
    </row>
    <row r="87" spans="1:5" x14ac:dyDescent="0.25">
      <c r="A87" s="3">
        <v>90</v>
      </c>
      <c r="B87" s="2">
        <f ca="1"/>
        <v>14054999.999999996</v>
      </c>
      <c r="C87" s="2">
        <v>7650000</v>
      </c>
      <c r="D87" s="2">
        <f ca="1"/>
        <v>21704999.999999996</v>
      </c>
      <c r="E87" s="2">
        <v>15300000</v>
      </c>
    </row>
    <row r="88" spans="1:5" x14ac:dyDescent="0.25">
      <c r="A88" s="3">
        <v>91</v>
      </c>
      <c r="B88" s="2">
        <f ca="1"/>
        <v>14329500</v>
      </c>
      <c r="C88" s="2">
        <v>7735000</v>
      </c>
      <c r="D88" s="2">
        <f ca="1"/>
        <v>22064500</v>
      </c>
      <c r="E88" s="2">
        <v>15470000</v>
      </c>
    </row>
    <row r="89" spans="1:5" x14ac:dyDescent="0.25">
      <c r="A89" s="3">
        <v>92</v>
      </c>
      <c r="B89" s="2">
        <f ca="1"/>
        <v>14604000</v>
      </c>
      <c r="C89" s="2">
        <v>7820000</v>
      </c>
      <c r="D89" s="2">
        <f ca="1"/>
        <v>22424000</v>
      </c>
      <c r="E89" s="2">
        <v>15640000</v>
      </c>
    </row>
    <row r="90" spans="1:5" x14ac:dyDescent="0.25">
      <c r="A90" s="3">
        <v>93</v>
      </c>
      <c r="B90" s="2">
        <f ca="1"/>
        <v>14878500</v>
      </c>
      <c r="C90" s="2">
        <v>7905000</v>
      </c>
      <c r="D90" s="2">
        <f ca="1"/>
        <v>22783500</v>
      </c>
      <c r="E90" s="2">
        <v>15810000</v>
      </c>
    </row>
    <row r="91" spans="1:5" x14ac:dyDescent="0.25">
      <c r="A91" s="3">
        <v>94</v>
      </c>
      <c r="B91" s="2">
        <f ca="1"/>
        <v>15153000</v>
      </c>
      <c r="C91" s="2">
        <v>7990000</v>
      </c>
      <c r="D91" s="2">
        <f ca="1"/>
        <v>23143000</v>
      </c>
      <c r="E91" s="2">
        <v>15980000</v>
      </c>
    </row>
    <row r="92" spans="1:5" x14ac:dyDescent="0.25">
      <c r="A92" s="3">
        <v>95</v>
      </c>
      <c r="B92" s="2">
        <f ca="1"/>
        <v>15427500</v>
      </c>
      <c r="C92" s="2">
        <v>8075000</v>
      </c>
      <c r="D92" s="2">
        <f ca="1"/>
        <v>23502500</v>
      </c>
      <c r="E92" s="2">
        <v>16150000</v>
      </c>
    </row>
    <row r="93" spans="1:5" x14ac:dyDescent="0.25">
      <c r="A93" s="3">
        <v>96</v>
      </c>
      <c r="B93" s="2">
        <f ca="1"/>
        <v>15702000</v>
      </c>
      <c r="C93" s="2">
        <v>8160000</v>
      </c>
      <c r="D93" s="2">
        <f ca="1"/>
        <v>23862000</v>
      </c>
      <c r="E93" s="2">
        <v>16320000</v>
      </c>
    </row>
    <row r="94" spans="1:5" x14ac:dyDescent="0.25">
      <c r="A94" s="3">
        <v>97</v>
      </c>
      <c r="B94" s="2">
        <f ca="1"/>
        <v>15976500</v>
      </c>
      <c r="C94" s="2">
        <v>8245000</v>
      </c>
      <c r="D94" s="2">
        <f ca="1"/>
        <v>24221500</v>
      </c>
      <c r="E94" s="2">
        <v>16490000</v>
      </c>
    </row>
    <row r="95" spans="1:5" x14ac:dyDescent="0.25">
      <c r="A95" s="3">
        <v>98</v>
      </c>
      <c r="B95" s="2">
        <f ca="1"/>
        <v>16251000</v>
      </c>
      <c r="C95" s="2">
        <v>8330000</v>
      </c>
      <c r="D95" s="2">
        <f ca="1"/>
        <v>24581000</v>
      </c>
      <c r="E95" s="2">
        <v>16660000</v>
      </c>
    </row>
    <row r="96" spans="1:5" x14ac:dyDescent="0.25">
      <c r="A96" s="3">
        <v>99</v>
      </c>
      <c r="B96" s="2">
        <f ca="1"/>
        <v>16525500.000000004</v>
      </c>
      <c r="C96" s="2">
        <v>8415000</v>
      </c>
      <c r="D96" s="2">
        <f ca="1"/>
        <v>24940500.000000004</v>
      </c>
      <c r="E96" s="2">
        <v>16830000</v>
      </c>
    </row>
    <row r="97" spans="1:5" x14ac:dyDescent="0.25">
      <c r="A97" s="3">
        <v>100</v>
      </c>
      <c r="B97" s="2">
        <f ca="1"/>
        <v>16800000</v>
      </c>
      <c r="C97" s="2">
        <v>8500000</v>
      </c>
      <c r="D97" s="2">
        <f ca="1"/>
        <v>25300000</v>
      </c>
      <c r="E97" s="2">
        <v>17000000</v>
      </c>
    </row>
    <row r="98" spans="1:5" x14ac:dyDescent="0.25">
      <c r="A98" s="3">
        <v>101</v>
      </c>
      <c r="B98" s="2">
        <f ca="1"/>
        <v>17074499.999999996</v>
      </c>
      <c r="C98" s="2">
        <v>8585000</v>
      </c>
      <c r="D98" s="2">
        <f ca="1"/>
        <v>25659499.999999996</v>
      </c>
      <c r="E98" s="2">
        <v>17170000</v>
      </c>
    </row>
    <row r="99" spans="1:5" x14ac:dyDescent="0.25">
      <c r="A99" s="3">
        <v>102</v>
      </c>
      <c r="B99" s="2">
        <f ca="1"/>
        <v>17349000</v>
      </c>
      <c r="C99" s="2">
        <v>8670000</v>
      </c>
      <c r="D99" s="2">
        <f ca="1"/>
        <v>26019000</v>
      </c>
      <c r="E99" s="2">
        <v>17340000</v>
      </c>
    </row>
    <row r="100" spans="1:5" x14ac:dyDescent="0.25">
      <c r="A100" s="3">
        <v>103</v>
      </c>
      <c r="B100" s="2">
        <f ca="1"/>
        <v>17623500</v>
      </c>
      <c r="C100" s="2">
        <v>8755000</v>
      </c>
      <c r="D100" s="2">
        <f ca="1"/>
        <v>26378500</v>
      </c>
      <c r="E100" s="2">
        <v>17510000</v>
      </c>
    </row>
    <row r="101" spans="1:5" x14ac:dyDescent="0.25">
      <c r="A101" s="3">
        <v>104</v>
      </c>
      <c r="B101" s="2">
        <f ca="1"/>
        <v>17898000</v>
      </c>
      <c r="C101" s="2">
        <v>8840000</v>
      </c>
      <c r="D101" s="2">
        <f ca="1"/>
        <v>26738000</v>
      </c>
      <c r="E101" s="2">
        <v>17680000</v>
      </c>
    </row>
    <row r="102" spans="1:5" x14ac:dyDescent="0.25">
      <c r="A102" s="3">
        <v>105</v>
      </c>
      <c r="B102" s="2">
        <f ca="1"/>
        <v>18176250</v>
      </c>
      <c r="C102" s="2">
        <v>8925000</v>
      </c>
      <c r="D102" s="2">
        <f ca="1"/>
        <v>27101250</v>
      </c>
      <c r="E102" s="2">
        <v>17850000</v>
      </c>
    </row>
    <row r="103" spans="1:5" x14ac:dyDescent="0.25">
      <c r="A103" s="3">
        <v>106</v>
      </c>
      <c r="B103" s="2">
        <f ca="1"/>
        <v>18496500</v>
      </c>
      <c r="C103" s="2">
        <v>9010000</v>
      </c>
      <c r="D103" s="2">
        <f ca="1"/>
        <v>27506500</v>
      </c>
      <c r="E103" s="2">
        <v>18020000</v>
      </c>
    </row>
    <row r="104" spans="1:5" x14ac:dyDescent="0.25">
      <c r="A104" s="3">
        <v>107</v>
      </c>
      <c r="B104" s="2">
        <f ca="1"/>
        <v>18816750</v>
      </c>
      <c r="C104" s="2">
        <v>9095000</v>
      </c>
      <c r="D104" s="2">
        <f ca="1"/>
        <v>27911750</v>
      </c>
      <c r="E104" s="2">
        <v>18190000</v>
      </c>
    </row>
    <row r="105" spans="1:5" x14ac:dyDescent="0.25">
      <c r="A105" s="3">
        <v>108</v>
      </c>
      <c r="B105" s="2">
        <f ca="1"/>
        <v>19137000</v>
      </c>
      <c r="C105" s="2">
        <v>9180000</v>
      </c>
      <c r="D105" s="2">
        <f ca="1"/>
        <v>28317000</v>
      </c>
      <c r="E105" s="2">
        <v>18360000</v>
      </c>
    </row>
    <row r="106" spans="1:5" x14ac:dyDescent="0.25">
      <c r="A106" s="3">
        <v>109</v>
      </c>
      <c r="B106" s="2">
        <f ca="1"/>
        <v>19457250</v>
      </c>
      <c r="C106" s="2">
        <v>9265000</v>
      </c>
      <c r="D106" s="2">
        <f ca="1"/>
        <v>28722250</v>
      </c>
      <c r="E106" s="2">
        <v>18530000</v>
      </c>
    </row>
    <row r="107" spans="1:5" x14ac:dyDescent="0.25">
      <c r="A107" s="3">
        <v>110</v>
      </c>
      <c r="B107" s="2">
        <f ca="1"/>
        <v>19777499.999999996</v>
      </c>
      <c r="C107" s="2">
        <v>9350000</v>
      </c>
      <c r="D107" s="2">
        <f ca="1"/>
        <v>29127499.999999996</v>
      </c>
      <c r="E107" s="2">
        <v>18700000</v>
      </c>
    </row>
    <row r="108" spans="1:5" x14ac:dyDescent="0.25">
      <c r="A108" s="3">
        <v>111</v>
      </c>
      <c r="B108" s="2">
        <f ca="1"/>
        <v>20097749.999999996</v>
      </c>
      <c r="C108" s="2">
        <v>9435000</v>
      </c>
      <c r="D108" s="2">
        <f ca="1"/>
        <v>29532749.999999996</v>
      </c>
      <c r="E108" s="2">
        <v>18870000</v>
      </c>
    </row>
    <row r="109" spans="1:5" x14ac:dyDescent="0.25">
      <c r="A109" s="3">
        <v>112</v>
      </c>
      <c r="B109" s="2">
        <f ca="1"/>
        <v>20417999.999999996</v>
      </c>
      <c r="C109" s="2">
        <v>9520000</v>
      </c>
      <c r="D109" s="2">
        <f ca="1"/>
        <v>29937999.999999996</v>
      </c>
      <c r="E109" s="2">
        <v>19040000</v>
      </c>
    </row>
    <row r="110" spans="1:5" x14ac:dyDescent="0.25">
      <c r="A110" s="3">
        <v>113</v>
      </c>
      <c r="B110" s="2">
        <f ca="1"/>
        <v>20738249.999999996</v>
      </c>
      <c r="C110" s="2">
        <v>9605000</v>
      </c>
      <c r="D110" s="2">
        <f ca="1"/>
        <v>30343249.999999996</v>
      </c>
      <c r="E110" s="2">
        <v>19210000</v>
      </c>
    </row>
    <row r="111" spans="1:5" x14ac:dyDescent="0.25">
      <c r="A111" s="3">
        <v>114</v>
      </c>
      <c r="B111" s="2">
        <f ca="1"/>
        <v>21058499.999999996</v>
      </c>
      <c r="C111" s="2">
        <v>9690000</v>
      </c>
      <c r="D111" s="2">
        <f ca="1"/>
        <v>30748499.999999996</v>
      </c>
      <c r="E111" s="2">
        <v>19380000</v>
      </c>
    </row>
    <row r="112" spans="1:5" x14ac:dyDescent="0.25">
      <c r="A112" s="3">
        <v>115</v>
      </c>
      <c r="B112" s="2">
        <f ca="1"/>
        <v>21378749.999999996</v>
      </c>
      <c r="C112" s="2">
        <v>9775000</v>
      </c>
      <c r="D112" s="2">
        <f ca="1"/>
        <v>31153749.999999996</v>
      </c>
      <c r="E112" s="2">
        <v>19550000</v>
      </c>
    </row>
    <row r="113" spans="1:5" x14ac:dyDescent="0.25">
      <c r="A113" s="3">
        <v>116</v>
      </c>
      <c r="B113" s="2">
        <f ca="1"/>
        <v>21698999.999999996</v>
      </c>
      <c r="C113" s="2">
        <v>9860000</v>
      </c>
      <c r="D113" s="2">
        <f ca="1"/>
        <v>31558999.999999996</v>
      </c>
      <c r="E113" s="2">
        <v>19720000</v>
      </c>
    </row>
    <row r="114" spans="1:5" x14ac:dyDescent="0.25">
      <c r="A114" s="3">
        <v>117</v>
      </c>
      <c r="B114" s="2">
        <f ca="1"/>
        <v>22019249.999999996</v>
      </c>
      <c r="C114" s="2">
        <v>9945000</v>
      </c>
      <c r="D114" s="2">
        <f ca="1"/>
        <v>31964249.999999996</v>
      </c>
      <c r="E114" s="2">
        <v>19890000</v>
      </c>
    </row>
    <row r="115" spans="1:5" x14ac:dyDescent="0.25">
      <c r="A115" s="3">
        <v>118</v>
      </c>
      <c r="B115" s="2">
        <f ca="1"/>
        <v>22339499.999999996</v>
      </c>
      <c r="C115" s="2">
        <v>10030000</v>
      </c>
      <c r="D115" s="2">
        <f ca="1"/>
        <v>32369499.999999996</v>
      </c>
      <c r="E115" s="2">
        <v>20060000</v>
      </c>
    </row>
    <row r="116" spans="1:5" x14ac:dyDescent="0.25">
      <c r="A116" s="3">
        <v>119</v>
      </c>
      <c r="B116" s="2">
        <f ca="1"/>
        <v>22659749.999999996</v>
      </c>
      <c r="C116" s="2">
        <v>10115000</v>
      </c>
      <c r="D116" s="2">
        <f ca="1"/>
        <v>32774749.999999996</v>
      </c>
      <c r="E116" s="2">
        <v>20230000</v>
      </c>
    </row>
    <row r="117" spans="1:5" x14ac:dyDescent="0.25">
      <c r="A117" s="3">
        <v>120</v>
      </c>
      <c r="B117" s="2">
        <f ca="1"/>
        <v>22979999.999999996</v>
      </c>
      <c r="C117" s="2">
        <v>10200000</v>
      </c>
      <c r="D117" s="2">
        <f ca="1"/>
        <v>33179999.999999996</v>
      </c>
      <c r="E117" s="2">
        <v>20400000</v>
      </c>
    </row>
    <row r="118" spans="1:5" x14ac:dyDescent="0.25">
      <c r="A118" s="3">
        <v>121</v>
      </c>
      <c r="B118" s="2">
        <f ca="1"/>
        <v>23300249.999999996</v>
      </c>
      <c r="C118" s="2">
        <v>10285000</v>
      </c>
      <c r="D118" s="2">
        <f ca="1"/>
        <v>33585250</v>
      </c>
      <c r="E118" s="2">
        <v>20570000</v>
      </c>
    </row>
    <row r="119" spans="1:5" x14ac:dyDescent="0.25">
      <c r="A119" s="3">
        <v>122</v>
      </c>
      <c r="B119" s="2">
        <f ca="1"/>
        <v>23620499.999999996</v>
      </c>
      <c r="C119" s="2">
        <v>10370000</v>
      </c>
      <c r="D119" s="2">
        <f ca="1"/>
        <v>33990500</v>
      </c>
      <c r="E119" s="2">
        <v>20740000</v>
      </c>
    </row>
    <row r="120" spans="1:5" x14ac:dyDescent="0.25">
      <c r="A120" s="3">
        <v>123</v>
      </c>
      <c r="B120" s="2">
        <f ca="1"/>
        <v>23940750</v>
      </c>
      <c r="C120" s="2">
        <v>10455000</v>
      </c>
      <c r="D120" s="2">
        <f ca="1"/>
        <v>34395750</v>
      </c>
      <c r="E120" s="2">
        <v>20910000</v>
      </c>
    </row>
    <row r="121" spans="1:5" x14ac:dyDescent="0.25">
      <c r="A121" s="3">
        <v>124</v>
      </c>
      <c r="B121" s="2">
        <f ca="1"/>
        <v>24261000</v>
      </c>
      <c r="C121" s="2">
        <v>10540000</v>
      </c>
      <c r="D121" s="2">
        <f ca="1"/>
        <v>34801000</v>
      </c>
      <c r="E121" s="2">
        <v>21080000</v>
      </c>
    </row>
    <row r="122" spans="1:5" x14ac:dyDescent="0.25">
      <c r="A122" s="3">
        <v>125</v>
      </c>
      <c r="B122" s="2">
        <f ca="1"/>
        <v>24581250</v>
      </c>
      <c r="C122" s="2">
        <v>10625000</v>
      </c>
      <c r="D122" s="2">
        <f ca="1"/>
        <v>35206250</v>
      </c>
      <c r="E122" s="2">
        <v>21250000</v>
      </c>
    </row>
    <row r="123" spans="1:5" x14ac:dyDescent="0.25">
      <c r="A123" s="3">
        <v>126</v>
      </c>
      <c r="B123" s="2">
        <f ca="1"/>
        <v>24901499.999999993</v>
      </c>
      <c r="C123" s="2">
        <v>10710000</v>
      </c>
      <c r="D123" s="2">
        <f ca="1"/>
        <v>35611499.999999993</v>
      </c>
      <c r="E123" s="2">
        <v>21420000</v>
      </c>
    </row>
    <row r="124" spans="1:5" x14ac:dyDescent="0.25">
      <c r="A124" s="3">
        <v>127</v>
      </c>
      <c r="B124" s="2">
        <f ca="1"/>
        <v>25221750</v>
      </c>
      <c r="C124" s="2">
        <v>10795000</v>
      </c>
      <c r="D124" s="2">
        <f ca="1"/>
        <v>36016750</v>
      </c>
      <c r="E124" s="2">
        <v>21590000</v>
      </c>
    </row>
    <row r="125" spans="1:5" x14ac:dyDescent="0.25">
      <c r="A125" s="3">
        <v>128</v>
      </c>
      <c r="B125" s="2">
        <f ca="1"/>
        <v>25542000</v>
      </c>
      <c r="C125" s="2">
        <v>10880000</v>
      </c>
      <c r="D125" s="2">
        <f ca="1"/>
        <v>36422000</v>
      </c>
      <c r="E125" s="2">
        <v>21760000</v>
      </c>
    </row>
    <row r="126" spans="1:5" x14ac:dyDescent="0.25">
      <c r="A126" s="3">
        <v>129</v>
      </c>
      <c r="B126" s="2">
        <f ca="1"/>
        <v>25862250</v>
      </c>
      <c r="C126" s="2">
        <v>10965000</v>
      </c>
      <c r="D126" s="2">
        <f ca="1"/>
        <v>36827250</v>
      </c>
      <c r="E126" s="2">
        <v>21930000</v>
      </c>
    </row>
    <row r="127" spans="1:5" x14ac:dyDescent="0.25">
      <c r="A127" s="3">
        <v>130</v>
      </c>
      <c r="B127" s="2">
        <f ca="1"/>
        <v>26182500</v>
      </c>
      <c r="C127" s="2">
        <v>11050000</v>
      </c>
      <c r="D127" s="2">
        <f ca="1"/>
        <v>37232500</v>
      </c>
      <c r="E127" s="2">
        <v>22100000</v>
      </c>
    </row>
    <row r="128" spans="1:5" x14ac:dyDescent="0.25">
      <c r="A128" s="3">
        <v>131</v>
      </c>
      <c r="B128" s="2">
        <f ca="1"/>
        <v>26502750</v>
      </c>
      <c r="C128" s="2">
        <v>11135000</v>
      </c>
      <c r="D128" s="2">
        <f ca="1"/>
        <v>37637750</v>
      </c>
      <c r="E128" s="2">
        <v>22270000</v>
      </c>
    </row>
    <row r="129" spans="1:5" x14ac:dyDescent="0.25">
      <c r="A129" s="3">
        <v>132</v>
      </c>
      <c r="B129" s="2">
        <f ca="1"/>
        <v>26823000</v>
      </c>
      <c r="C129" s="2">
        <v>11220000</v>
      </c>
      <c r="D129" s="2">
        <f ca="1"/>
        <v>38043000</v>
      </c>
      <c r="E129" s="2">
        <v>22440000</v>
      </c>
    </row>
    <row r="130" spans="1:5" x14ac:dyDescent="0.25">
      <c r="A130" s="3">
        <v>133</v>
      </c>
      <c r="B130" s="2">
        <f ca="1"/>
        <v>27143250</v>
      </c>
      <c r="C130" s="2">
        <v>11305000</v>
      </c>
      <c r="D130" s="2">
        <f ca="1"/>
        <v>38448250</v>
      </c>
      <c r="E130" s="2">
        <v>22610000</v>
      </c>
    </row>
    <row r="131" spans="1:5" x14ac:dyDescent="0.25">
      <c r="A131" s="3">
        <v>134</v>
      </c>
      <c r="B131" s="2">
        <f ca="1"/>
        <v>27463500</v>
      </c>
      <c r="C131" s="2">
        <v>11390000</v>
      </c>
      <c r="D131" s="2">
        <f ca="1"/>
        <v>38853500</v>
      </c>
      <c r="E131" s="2">
        <v>22780000</v>
      </c>
    </row>
    <row r="132" spans="1:5" x14ac:dyDescent="0.25">
      <c r="A132" s="3">
        <v>135</v>
      </c>
      <c r="B132" s="2">
        <f ca="1"/>
        <v>27783750</v>
      </c>
      <c r="C132" s="2">
        <v>11475000</v>
      </c>
      <c r="D132" s="2">
        <f ca="1"/>
        <v>39258750</v>
      </c>
      <c r="E132" s="2">
        <v>22950000</v>
      </c>
    </row>
    <row r="133" spans="1:5" x14ac:dyDescent="0.25">
      <c r="A133" s="3">
        <v>136</v>
      </c>
      <c r="B133" s="2">
        <f ca="1"/>
        <v>28104000</v>
      </c>
      <c r="C133" s="2">
        <v>11560000</v>
      </c>
      <c r="D133" s="2">
        <f ca="1"/>
        <v>39664000</v>
      </c>
      <c r="E133" s="2">
        <v>23120000</v>
      </c>
    </row>
    <row r="134" spans="1:5" x14ac:dyDescent="0.25">
      <c r="A134" s="3">
        <v>137</v>
      </c>
      <c r="B134" s="2">
        <f ca="1"/>
        <v>28424250</v>
      </c>
      <c r="C134" s="2">
        <v>11645000</v>
      </c>
      <c r="D134" s="2">
        <f ca="1"/>
        <v>40069250</v>
      </c>
      <c r="E134" s="2">
        <v>23290000</v>
      </c>
    </row>
    <row r="135" spans="1:5" x14ac:dyDescent="0.25">
      <c r="A135" s="3">
        <v>138</v>
      </c>
      <c r="B135" s="2">
        <f ca="1"/>
        <v>28744500</v>
      </c>
      <c r="C135" s="2">
        <v>11730000</v>
      </c>
      <c r="D135" s="2">
        <f ca="1"/>
        <v>40474500</v>
      </c>
      <c r="E135" s="2">
        <v>23460000</v>
      </c>
    </row>
    <row r="136" spans="1:5" x14ac:dyDescent="0.25">
      <c r="A136" s="3">
        <v>139</v>
      </c>
      <c r="B136" s="2">
        <f ca="1"/>
        <v>29064750</v>
      </c>
      <c r="C136" s="2">
        <v>11815000</v>
      </c>
      <c r="D136" s="2">
        <f ca="1"/>
        <v>40879750</v>
      </c>
      <c r="E136" s="2">
        <v>23630000</v>
      </c>
    </row>
    <row r="137" spans="1:5" x14ac:dyDescent="0.25">
      <c r="A137" s="3">
        <v>140</v>
      </c>
      <c r="B137" s="2">
        <f ca="1"/>
        <v>29385000</v>
      </c>
      <c r="C137" s="2">
        <v>11900000</v>
      </c>
      <c r="D137" s="2">
        <f ca="1"/>
        <v>41285000</v>
      </c>
      <c r="E137" s="2">
        <v>23800000</v>
      </c>
    </row>
    <row r="138" spans="1:5" x14ac:dyDescent="0.25">
      <c r="A138" s="3">
        <v>141</v>
      </c>
      <c r="B138" s="2">
        <f ca="1"/>
        <v>29705250</v>
      </c>
      <c r="C138" s="2">
        <v>11985000</v>
      </c>
      <c r="D138" s="2">
        <f ca="1"/>
        <v>41690250</v>
      </c>
      <c r="E138" s="2">
        <v>23970000</v>
      </c>
    </row>
    <row r="139" spans="1:5" x14ac:dyDescent="0.25">
      <c r="A139" s="3">
        <v>142</v>
      </c>
      <c r="B139" s="2">
        <f ca="1"/>
        <v>30025500</v>
      </c>
      <c r="C139" s="2">
        <v>12070000</v>
      </c>
      <c r="D139" s="2">
        <f ca="1"/>
        <v>42095500</v>
      </c>
      <c r="E139" s="2">
        <v>24140000</v>
      </c>
    </row>
    <row r="140" spans="1:5" x14ac:dyDescent="0.25">
      <c r="A140" s="3">
        <v>143</v>
      </c>
      <c r="B140" s="2">
        <f ca="1"/>
        <v>30345750</v>
      </c>
      <c r="C140" s="2">
        <v>12155000</v>
      </c>
      <c r="D140" s="2">
        <f ca="1"/>
        <v>42500750</v>
      </c>
      <c r="E140" s="2">
        <v>24310000</v>
      </c>
    </row>
    <row r="141" spans="1:5" x14ac:dyDescent="0.25">
      <c r="A141" s="3">
        <v>144</v>
      </c>
      <c r="B141" s="2">
        <f ca="1"/>
        <v>30666000</v>
      </c>
      <c r="C141" s="2">
        <v>12240000</v>
      </c>
      <c r="D141" s="2">
        <f ca="1"/>
        <v>42906000</v>
      </c>
      <c r="E141" s="2">
        <v>24480000</v>
      </c>
    </row>
    <row r="142" spans="1:5" x14ac:dyDescent="0.25">
      <c r="A142" s="3">
        <v>145</v>
      </c>
      <c r="B142" s="2">
        <f ca="1"/>
        <v>30986250</v>
      </c>
      <c r="C142" s="2">
        <v>12325000</v>
      </c>
      <c r="D142" s="2">
        <f ca="1"/>
        <v>43311250</v>
      </c>
      <c r="E142" s="2">
        <v>24650000</v>
      </c>
    </row>
    <row r="143" spans="1:5" x14ac:dyDescent="0.25">
      <c r="A143" s="3">
        <v>146</v>
      </c>
      <c r="B143" s="2">
        <f ca="1"/>
        <v>31306500</v>
      </c>
      <c r="C143" s="2">
        <v>12410000</v>
      </c>
      <c r="D143" s="2">
        <f ca="1"/>
        <v>43716500</v>
      </c>
      <c r="E143" s="2">
        <v>24820000</v>
      </c>
    </row>
    <row r="144" spans="1:5" x14ac:dyDescent="0.25">
      <c r="A144" s="3">
        <v>147</v>
      </c>
      <c r="B144" s="2">
        <f ca="1"/>
        <v>31626750</v>
      </c>
      <c r="C144" s="2">
        <v>12495000</v>
      </c>
      <c r="D144" s="2">
        <f ca="1"/>
        <v>44121750</v>
      </c>
      <c r="E144" s="2">
        <v>24990000</v>
      </c>
    </row>
    <row r="145" spans="1:5" x14ac:dyDescent="0.25">
      <c r="A145" s="3">
        <v>148</v>
      </c>
      <c r="B145" s="2">
        <f ca="1"/>
        <v>31947000</v>
      </c>
      <c r="C145" s="2">
        <v>12580000</v>
      </c>
      <c r="D145" s="2">
        <f ca="1"/>
        <v>44527000</v>
      </c>
      <c r="E145" s="2">
        <v>25160000</v>
      </c>
    </row>
    <row r="146" spans="1:5" x14ac:dyDescent="0.25">
      <c r="A146" s="3">
        <v>149</v>
      </c>
      <c r="B146" s="2">
        <f ca="1"/>
        <v>32267250</v>
      </c>
      <c r="C146" s="2">
        <v>12665000</v>
      </c>
      <c r="D146" s="2">
        <f ca="1"/>
        <v>44932250</v>
      </c>
      <c r="E146" s="2">
        <v>25330000</v>
      </c>
    </row>
    <row r="147" spans="1:5" x14ac:dyDescent="0.25">
      <c r="A147" s="3">
        <v>150</v>
      </c>
      <c r="B147" s="2">
        <f ca="1"/>
        <v>32587500</v>
      </c>
      <c r="C147" s="2">
        <v>12750000</v>
      </c>
      <c r="D147" s="2">
        <f ca="1"/>
        <v>45337500</v>
      </c>
      <c r="E147" s="2">
        <v>25500000</v>
      </c>
    </row>
    <row r="148" spans="1:5" x14ac:dyDescent="0.25">
      <c r="A148" s="3">
        <v>151</v>
      </c>
      <c r="B148" s="2">
        <f ca="1"/>
        <v>32907749.999999993</v>
      </c>
      <c r="C148" s="2">
        <v>12835000</v>
      </c>
      <c r="D148" s="2">
        <f ca="1"/>
        <v>45742749.999999993</v>
      </c>
      <c r="E148" s="2">
        <v>25670000</v>
      </c>
    </row>
    <row r="149" spans="1:5" x14ac:dyDescent="0.25">
      <c r="A149" s="3">
        <v>152</v>
      </c>
      <c r="B149" s="2">
        <f ca="1"/>
        <v>33228000</v>
      </c>
      <c r="C149" s="2">
        <v>12920000</v>
      </c>
      <c r="D149" s="2">
        <f ca="1"/>
        <v>46148000</v>
      </c>
      <c r="E149" s="2">
        <v>25840000</v>
      </c>
    </row>
    <row r="150" spans="1:5" x14ac:dyDescent="0.25">
      <c r="A150" s="3">
        <v>153</v>
      </c>
      <c r="B150" s="2">
        <f ca="1"/>
        <v>33548250</v>
      </c>
      <c r="C150" s="2">
        <v>13005000</v>
      </c>
      <c r="D150" s="2">
        <f ca="1"/>
        <v>46553250</v>
      </c>
      <c r="E150" s="2">
        <v>26010000</v>
      </c>
    </row>
    <row r="151" spans="1:5" x14ac:dyDescent="0.25">
      <c r="A151" s="3">
        <v>154</v>
      </c>
      <c r="B151" s="2">
        <f ca="1"/>
        <v>33868500</v>
      </c>
      <c r="C151" s="2">
        <v>13090000</v>
      </c>
      <c r="D151" s="2">
        <f ca="1"/>
        <v>46958500</v>
      </c>
      <c r="E151" s="2">
        <v>26180000</v>
      </c>
    </row>
    <row r="152" spans="1:5" x14ac:dyDescent="0.25">
      <c r="A152" s="3">
        <v>155</v>
      </c>
      <c r="B152" s="2">
        <f ca="1"/>
        <v>34188750</v>
      </c>
      <c r="C152" s="2">
        <v>13175000</v>
      </c>
      <c r="D152" s="2">
        <f ca="1"/>
        <v>47363750</v>
      </c>
      <c r="E152" s="2">
        <v>26350000</v>
      </c>
    </row>
    <row r="153" spans="1:5" x14ac:dyDescent="0.25">
      <c r="A153" s="3">
        <v>156</v>
      </c>
      <c r="B153" s="2">
        <f ca="1"/>
        <v>34509000</v>
      </c>
      <c r="C153" s="2">
        <v>13260000</v>
      </c>
      <c r="D153" s="2">
        <f ca="1"/>
        <v>47769000</v>
      </c>
      <c r="E153" s="2">
        <v>26520000</v>
      </c>
    </row>
    <row r="154" spans="1:5" x14ac:dyDescent="0.25">
      <c r="A154" s="3">
        <v>157</v>
      </c>
      <c r="B154" s="2">
        <f ca="1"/>
        <v>34829250</v>
      </c>
      <c r="C154" s="2">
        <v>13345000</v>
      </c>
      <c r="D154" s="2">
        <f ca="1"/>
        <v>48174250</v>
      </c>
      <c r="E154" s="2">
        <v>26690000</v>
      </c>
    </row>
    <row r="155" spans="1:5" x14ac:dyDescent="0.25">
      <c r="A155" s="3">
        <v>158</v>
      </c>
      <c r="B155" s="2">
        <f ca="1"/>
        <v>35149500</v>
      </c>
      <c r="C155" s="2">
        <v>13430000</v>
      </c>
      <c r="D155" s="2">
        <f ca="1"/>
        <v>48579500</v>
      </c>
      <c r="E155" s="2">
        <v>26860000</v>
      </c>
    </row>
    <row r="156" spans="1:5" x14ac:dyDescent="0.25">
      <c r="A156" s="3">
        <v>159</v>
      </c>
      <c r="B156" s="2">
        <f ca="1"/>
        <v>35469750</v>
      </c>
      <c r="C156" s="2">
        <v>13515000</v>
      </c>
      <c r="D156" s="2">
        <f ca="1"/>
        <v>48984750</v>
      </c>
      <c r="E156" s="2">
        <v>27030000</v>
      </c>
    </row>
    <row r="157" spans="1:5" x14ac:dyDescent="0.25">
      <c r="A157" s="3">
        <v>160</v>
      </c>
      <c r="B157" s="2">
        <f ca="1"/>
        <v>35790000</v>
      </c>
      <c r="C157" s="2">
        <v>13600000</v>
      </c>
      <c r="D157" s="2">
        <f ca="1"/>
        <v>49390000</v>
      </c>
      <c r="E157" s="2">
        <v>27200000</v>
      </c>
    </row>
    <row r="158" spans="1:5" x14ac:dyDescent="0.25">
      <c r="A158" s="3">
        <v>161</v>
      </c>
      <c r="B158" s="2">
        <f ca="1"/>
        <v>36110250</v>
      </c>
      <c r="C158" s="2">
        <v>13685000</v>
      </c>
      <c r="D158" s="2">
        <f ca="1"/>
        <v>49795250</v>
      </c>
      <c r="E158" s="2">
        <v>27370000</v>
      </c>
    </row>
    <row r="159" spans="1:5" x14ac:dyDescent="0.25">
      <c r="A159" s="3">
        <v>162</v>
      </c>
      <c r="B159" s="2">
        <f ca="1"/>
        <v>36430499.999999993</v>
      </c>
      <c r="C159" s="2">
        <v>13770000</v>
      </c>
      <c r="D159" s="2">
        <f ca="1"/>
        <v>50200499.999999993</v>
      </c>
      <c r="E159" s="2">
        <v>27540000</v>
      </c>
    </row>
    <row r="160" spans="1:5" x14ac:dyDescent="0.25">
      <c r="A160" s="3">
        <v>163</v>
      </c>
      <c r="B160" s="2">
        <f ca="1"/>
        <v>36750750</v>
      </c>
      <c r="C160" s="2">
        <v>13855000</v>
      </c>
      <c r="D160" s="2">
        <f ca="1"/>
        <v>50605750</v>
      </c>
      <c r="E160" s="2">
        <v>27710000</v>
      </c>
    </row>
    <row r="161" spans="1:5" x14ac:dyDescent="0.25">
      <c r="A161" s="3">
        <v>164</v>
      </c>
      <c r="B161" s="2">
        <f ca="1"/>
        <v>37071000</v>
      </c>
      <c r="C161" s="2">
        <v>13940000</v>
      </c>
      <c r="D161" s="2">
        <f ca="1"/>
        <v>51011000</v>
      </c>
      <c r="E161" s="2">
        <v>27880000</v>
      </c>
    </row>
    <row r="162" spans="1:5" x14ac:dyDescent="0.25">
      <c r="A162" s="3">
        <v>165</v>
      </c>
      <c r="B162" s="2">
        <f ca="1"/>
        <v>37391250</v>
      </c>
      <c r="C162" s="2">
        <v>14025000</v>
      </c>
      <c r="D162" s="2">
        <f ca="1"/>
        <v>51416250</v>
      </c>
      <c r="E162" s="2">
        <v>28050000</v>
      </c>
    </row>
    <row r="163" spans="1:5" x14ac:dyDescent="0.25">
      <c r="A163" s="3">
        <v>166</v>
      </c>
      <c r="B163" s="2">
        <f ca="1"/>
        <v>37711500</v>
      </c>
      <c r="C163" s="2">
        <v>14110000</v>
      </c>
      <c r="D163" s="2">
        <f ca="1"/>
        <v>51821500</v>
      </c>
      <c r="E163" s="2">
        <v>28220000</v>
      </c>
    </row>
    <row r="164" spans="1:5" x14ac:dyDescent="0.25">
      <c r="A164" s="3">
        <v>167</v>
      </c>
      <c r="B164" s="2">
        <f ca="1"/>
        <v>38031750</v>
      </c>
      <c r="C164" s="2">
        <v>14195000</v>
      </c>
      <c r="D164" s="2">
        <f ca="1"/>
        <v>52226750</v>
      </c>
      <c r="E164" s="2">
        <v>28390000</v>
      </c>
    </row>
    <row r="165" spans="1:5" x14ac:dyDescent="0.25">
      <c r="A165" s="3">
        <v>168</v>
      </c>
      <c r="B165" s="2">
        <f ca="1"/>
        <v>38352000</v>
      </c>
      <c r="C165" s="2">
        <v>14280000</v>
      </c>
      <c r="D165" s="2">
        <f ca="1"/>
        <v>52632000</v>
      </c>
      <c r="E165" s="2">
        <v>28560000</v>
      </c>
    </row>
    <row r="166" spans="1:5" x14ac:dyDescent="0.25">
      <c r="A166" s="3">
        <v>169</v>
      </c>
      <c r="B166" s="2">
        <f ca="1"/>
        <v>38672250</v>
      </c>
      <c r="C166" s="2">
        <v>14365000</v>
      </c>
      <c r="D166" s="2">
        <f ca="1"/>
        <v>53037250</v>
      </c>
      <c r="E166" s="2">
        <v>28730000</v>
      </c>
    </row>
    <row r="167" spans="1:5" x14ac:dyDescent="0.25">
      <c r="A167" s="3">
        <v>170</v>
      </c>
      <c r="B167" s="2">
        <f ca="1"/>
        <v>38992500</v>
      </c>
      <c r="C167" s="2">
        <v>14450000</v>
      </c>
      <c r="D167" s="2">
        <f ca="1"/>
        <v>53442500</v>
      </c>
      <c r="E167" s="2">
        <v>28900000</v>
      </c>
    </row>
    <row r="168" spans="1:5" x14ac:dyDescent="0.25">
      <c r="A168" s="3">
        <v>171</v>
      </c>
      <c r="B168" s="2">
        <f ca="1"/>
        <v>39312750</v>
      </c>
      <c r="C168" s="2">
        <v>14535000</v>
      </c>
      <c r="D168" s="2">
        <f ca="1"/>
        <v>53847750</v>
      </c>
      <c r="E168" s="2">
        <v>29070000</v>
      </c>
    </row>
    <row r="169" spans="1:5" x14ac:dyDescent="0.25">
      <c r="A169" s="3">
        <v>172</v>
      </c>
      <c r="B169" s="2">
        <f ca="1"/>
        <v>39633000</v>
      </c>
      <c r="C169" s="2">
        <v>14620000</v>
      </c>
      <c r="D169" s="2">
        <f ca="1"/>
        <v>54253000</v>
      </c>
      <c r="E169" s="2">
        <v>29240000</v>
      </c>
    </row>
    <row r="170" spans="1:5" x14ac:dyDescent="0.25">
      <c r="A170" s="3">
        <v>173</v>
      </c>
      <c r="B170" s="2">
        <f ca="1"/>
        <v>39953250</v>
      </c>
      <c r="C170" s="2">
        <v>14705000</v>
      </c>
      <c r="D170" s="2">
        <f ca="1"/>
        <v>54658250</v>
      </c>
      <c r="E170" s="2">
        <v>29410000</v>
      </c>
    </row>
    <row r="171" spans="1:5" x14ac:dyDescent="0.25">
      <c r="A171" s="3">
        <v>174</v>
      </c>
      <c r="B171" s="2">
        <f ca="1"/>
        <v>40273500</v>
      </c>
      <c r="C171" s="2">
        <v>14790000</v>
      </c>
      <c r="D171" s="2">
        <f ca="1"/>
        <v>55063500</v>
      </c>
      <c r="E171" s="2">
        <v>29580000</v>
      </c>
    </row>
    <row r="172" spans="1:5" x14ac:dyDescent="0.25">
      <c r="A172" s="3">
        <v>175</v>
      </c>
      <c r="B172" s="2">
        <f ca="1"/>
        <v>40593750</v>
      </c>
      <c r="C172" s="2">
        <v>14875000</v>
      </c>
      <c r="D172" s="2">
        <f ca="1"/>
        <v>55468750</v>
      </c>
      <c r="E172" s="2">
        <v>29750000</v>
      </c>
    </row>
    <row r="173" spans="1:5" x14ac:dyDescent="0.25">
      <c r="A173" s="3">
        <v>176</v>
      </c>
      <c r="B173" s="2">
        <f ca="1"/>
        <v>40914000</v>
      </c>
      <c r="C173" s="2">
        <v>14960000</v>
      </c>
      <c r="D173" s="2">
        <f ca="1"/>
        <v>55874000</v>
      </c>
      <c r="E173" s="2">
        <v>29920000</v>
      </c>
    </row>
    <row r="174" spans="1:5" x14ac:dyDescent="0.25">
      <c r="A174" s="3">
        <v>177</v>
      </c>
      <c r="B174" s="2">
        <f ca="1"/>
        <v>41234250</v>
      </c>
      <c r="C174" s="2">
        <v>15045000</v>
      </c>
      <c r="D174" s="2">
        <f ca="1"/>
        <v>56279250</v>
      </c>
      <c r="E174" s="2">
        <v>30090000</v>
      </c>
    </row>
    <row r="175" spans="1:5" x14ac:dyDescent="0.25">
      <c r="A175" s="3">
        <v>178</v>
      </c>
      <c r="B175" s="2">
        <f ca="1"/>
        <v>41554500</v>
      </c>
      <c r="C175" s="2">
        <v>15130000</v>
      </c>
      <c r="D175" s="2">
        <f ca="1"/>
        <v>56684500</v>
      </c>
      <c r="E175" s="2">
        <v>30260000</v>
      </c>
    </row>
    <row r="176" spans="1:5" x14ac:dyDescent="0.25">
      <c r="A176" s="3">
        <v>179</v>
      </c>
      <c r="B176" s="2">
        <f ca="1"/>
        <v>41874750</v>
      </c>
      <c r="C176" s="2">
        <v>15215000</v>
      </c>
      <c r="D176" s="2">
        <f ca="1"/>
        <v>57089750</v>
      </c>
      <c r="E176" s="2">
        <v>30430000</v>
      </c>
    </row>
    <row r="177" spans="1:5" x14ac:dyDescent="0.25">
      <c r="A177" s="3">
        <v>180</v>
      </c>
      <c r="B177" s="2">
        <f ca="1"/>
        <v>42195000</v>
      </c>
      <c r="C177" s="2">
        <v>15300000</v>
      </c>
      <c r="D177" s="2">
        <f ca="1"/>
        <v>57495000</v>
      </c>
      <c r="E177" s="2">
        <v>30600000</v>
      </c>
    </row>
    <row r="178" spans="1:5" x14ac:dyDescent="0.25">
      <c r="A178" s="3">
        <v>181</v>
      </c>
      <c r="B178" s="2">
        <f ca="1"/>
        <v>42515250</v>
      </c>
      <c r="C178" s="2">
        <v>15385000</v>
      </c>
      <c r="D178" s="2">
        <f ca="1"/>
        <v>57900250</v>
      </c>
      <c r="E178" s="2">
        <v>30770000</v>
      </c>
    </row>
    <row r="179" spans="1:5" x14ac:dyDescent="0.25">
      <c r="A179" s="3">
        <v>182</v>
      </c>
      <c r="B179" s="2">
        <f ca="1"/>
        <v>42835500</v>
      </c>
      <c r="C179" s="2">
        <v>15470000</v>
      </c>
      <c r="D179" s="2">
        <f ca="1"/>
        <v>58305500</v>
      </c>
      <c r="E179" s="2">
        <v>30940000</v>
      </c>
    </row>
    <row r="180" spans="1:5" x14ac:dyDescent="0.25">
      <c r="A180" s="3">
        <v>183</v>
      </c>
      <c r="B180" s="2">
        <f ca="1"/>
        <v>43155750</v>
      </c>
      <c r="C180" s="2">
        <v>15555000</v>
      </c>
      <c r="D180" s="2">
        <f ca="1"/>
        <v>58710750</v>
      </c>
      <c r="E180" s="2">
        <v>31110000</v>
      </c>
    </row>
    <row r="181" spans="1:5" x14ac:dyDescent="0.25">
      <c r="A181" s="3">
        <v>184</v>
      </c>
      <c r="B181" s="2">
        <f ca="1"/>
        <v>43476000</v>
      </c>
      <c r="C181" s="2">
        <v>15640000</v>
      </c>
      <c r="D181" s="2">
        <f ca="1"/>
        <v>59116000</v>
      </c>
      <c r="E181" s="2">
        <v>31280000</v>
      </c>
    </row>
    <row r="182" spans="1:5" x14ac:dyDescent="0.25">
      <c r="A182" s="3">
        <v>185</v>
      </c>
      <c r="B182" s="2">
        <f ca="1"/>
        <v>43796250</v>
      </c>
      <c r="C182" s="2">
        <v>15725000</v>
      </c>
      <c r="D182" s="2">
        <f ca="1"/>
        <v>59521250</v>
      </c>
      <c r="E182" s="2">
        <v>31450000</v>
      </c>
    </row>
    <row r="183" spans="1:5" x14ac:dyDescent="0.25">
      <c r="A183" s="3">
        <v>186</v>
      </c>
      <c r="B183" s="2">
        <f ca="1"/>
        <v>44116500</v>
      </c>
      <c r="C183" s="2">
        <v>15810000</v>
      </c>
      <c r="D183" s="2">
        <f ca="1"/>
        <v>59926500</v>
      </c>
      <c r="E183" s="2">
        <v>31620000</v>
      </c>
    </row>
    <row r="184" spans="1:5" x14ac:dyDescent="0.25">
      <c r="A184" s="3">
        <v>187</v>
      </c>
      <c r="B184" s="2">
        <f ca="1"/>
        <v>44436750</v>
      </c>
      <c r="C184" s="2">
        <v>15895000</v>
      </c>
      <c r="D184" s="2">
        <f ca="1"/>
        <v>60331750</v>
      </c>
      <c r="E184" s="2">
        <v>31790000</v>
      </c>
    </row>
    <row r="185" spans="1:5" x14ac:dyDescent="0.25">
      <c r="A185" s="3">
        <v>188</v>
      </c>
      <c r="B185" s="2">
        <f ca="1"/>
        <v>44757000</v>
      </c>
      <c r="C185" s="2">
        <v>15980000</v>
      </c>
      <c r="D185" s="2">
        <f ca="1"/>
        <v>60737000</v>
      </c>
      <c r="E185" s="2">
        <v>31960000</v>
      </c>
    </row>
    <row r="186" spans="1:5" x14ac:dyDescent="0.25">
      <c r="A186" s="3">
        <v>189</v>
      </c>
      <c r="B186" s="2">
        <f ca="1"/>
        <v>45077250</v>
      </c>
      <c r="C186" s="2">
        <v>16065000</v>
      </c>
      <c r="D186" s="2">
        <f ca="1"/>
        <v>61142250</v>
      </c>
      <c r="E186" s="2">
        <v>32130000</v>
      </c>
    </row>
    <row r="187" spans="1:5" x14ac:dyDescent="0.25">
      <c r="A187" s="3">
        <v>190</v>
      </c>
      <c r="B187" s="2">
        <f ca="1"/>
        <v>45397500</v>
      </c>
      <c r="C187" s="2">
        <v>16150000</v>
      </c>
      <c r="D187" s="2">
        <f ca="1"/>
        <v>61547500</v>
      </c>
      <c r="E187" s="2">
        <v>32300000</v>
      </c>
    </row>
    <row r="188" spans="1:5" x14ac:dyDescent="0.25">
      <c r="A188" s="3">
        <v>191</v>
      </c>
      <c r="B188" s="2">
        <f ca="1"/>
        <v>45717750</v>
      </c>
      <c r="C188" s="2">
        <v>16235000</v>
      </c>
      <c r="D188" s="2">
        <f ca="1"/>
        <v>61952750</v>
      </c>
      <c r="E188" s="2">
        <v>32470000</v>
      </c>
    </row>
    <row r="189" spans="1:5" x14ac:dyDescent="0.25">
      <c r="A189" s="3">
        <v>192</v>
      </c>
      <c r="B189" s="2">
        <f ca="1"/>
        <v>46038000</v>
      </c>
      <c r="C189" s="2">
        <v>16320000</v>
      </c>
      <c r="D189" s="2">
        <f ca="1"/>
        <v>62358000</v>
      </c>
      <c r="E189" s="2">
        <v>32640000</v>
      </c>
    </row>
    <row r="190" spans="1:5" x14ac:dyDescent="0.25">
      <c r="A190" s="3">
        <v>193</v>
      </c>
      <c r="B190" s="2">
        <f ca="1"/>
        <v>46358250</v>
      </c>
      <c r="C190" s="2">
        <v>16405000</v>
      </c>
      <c r="D190" s="2">
        <f ca="1"/>
        <v>62763250</v>
      </c>
      <c r="E190" s="2">
        <v>32810000</v>
      </c>
    </row>
    <row r="191" spans="1:5" x14ac:dyDescent="0.25">
      <c r="A191" s="3">
        <v>194</v>
      </c>
      <c r="B191" s="2">
        <f ca="1"/>
        <v>46678500</v>
      </c>
      <c r="C191" s="2">
        <v>16490000</v>
      </c>
      <c r="D191" s="2">
        <f ca="1"/>
        <v>63168500</v>
      </c>
      <c r="E191" s="2">
        <v>32980000</v>
      </c>
    </row>
    <row r="192" spans="1:5" x14ac:dyDescent="0.25">
      <c r="A192" s="3">
        <v>195</v>
      </c>
      <c r="B192" s="2">
        <f ca="1"/>
        <v>46998750</v>
      </c>
      <c r="C192" s="2">
        <v>16575000</v>
      </c>
      <c r="D192" s="2">
        <f ca="1"/>
        <v>63573750</v>
      </c>
      <c r="E192" s="2">
        <v>33150000</v>
      </c>
    </row>
    <row r="193" spans="1:5" x14ac:dyDescent="0.25">
      <c r="A193" s="3">
        <v>196</v>
      </c>
      <c r="B193" s="2">
        <f ca="1"/>
        <v>47319000</v>
      </c>
      <c r="C193" s="2">
        <v>16660000</v>
      </c>
      <c r="D193" s="2">
        <f ca="1"/>
        <v>63979000</v>
      </c>
      <c r="E193" s="2">
        <v>33320000</v>
      </c>
    </row>
    <row r="194" spans="1:5" x14ac:dyDescent="0.25">
      <c r="A194" s="3">
        <v>197</v>
      </c>
      <c r="B194" s="2">
        <f ca="1"/>
        <v>47639250</v>
      </c>
      <c r="C194" s="2">
        <v>16745000</v>
      </c>
      <c r="D194" s="2">
        <f ca="1"/>
        <v>64384250</v>
      </c>
      <c r="E194" s="2">
        <v>33490000</v>
      </c>
    </row>
    <row r="195" spans="1:5" x14ac:dyDescent="0.25">
      <c r="A195" s="3">
        <v>198</v>
      </c>
      <c r="B195" s="2">
        <f ca="1"/>
        <v>47959500.000000007</v>
      </c>
      <c r="C195" s="2">
        <v>16830000</v>
      </c>
      <c r="D195" s="2">
        <f ca="1"/>
        <v>64789500.000000007</v>
      </c>
      <c r="E195" s="2">
        <v>33660000</v>
      </c>
    </row>
    <row r="196" spans="1:5" x14ac:dyDescent="0.25">
      <c r="A196" s="3">
        <v>199</v>
      </c>
      <c r="B196" s="2">
        <f ca="1"/>
        <v>48279750</v>
      </c>
      <c r="C196" s="2">
        <v>16915000</v>
      </c>
      <c r="D196" s="2">
        <f ca="1"/>
        <v>65194750</v>
      </c>
      <c r="E196" s="2">
        <v>33830000</v>
      </c>
    </row>
    <row r="197" spans="1:5" x14ac:dyDescent="0.25">
      <c r="A197" s="3">
        <v>200</v>
      </c>
      <c r="B197" s="2">
        <f ca="1"/>
        <v>48600000</v>
      </c>
      <c r="C197" s="2">
        <v>17000000</v>
      </c>
      <c r="D197" s="2">
        <f ca="1"/>
        <v>65600000</v>
      </c>
      <c r="E197" s="2">
        <v>34000000</v>
      </c>
    </row>
    <row r="198" spans="1:5" x14ac:dyDescent="0.25">
      <c r="A198" s="3">
        <v>201</v>
      </c>
      <c r="B198" s="2">
        <f ca="1"/>
        <v>48920249.999999993</v>
      </c>
      <c r="C198" s="2">
        <v>17085000</v>
      </c>
      <c r="D198" s="2">
        <f ca="1"/>
        <v>66005249.999999993</v>
      </c>
      <c r="E198" s="2">
        <v>34170000</v>
      </c>
    </row>
    <row r="199" spans="1:5" x14ac:dyDescent="0.25">
      <c r="A199" s="3">
        <v>202</v>
      </c>
      <c r="B199" s="2">
        <f ca="1"/>
        <v>49240499.999999985</v>
      </c>
      <c r="C199" s="2">
        <v>17170000</v>
      </c>
      <c r="D199" s="2">
        <f ca="1"/>
        <v>66410499.999999985</v>
      </c>
      <c r="E199" s="2">
        <v>34340000</v>
      </c>
    </row>
    <row r="200" spans="1:5" x14ac:dyDescent="0.25">
      <c r="A200" s="3">
        <v>203</v>
      </c>
      <c r="B200" s="2">
        <f ca="1"/>
        <v>49560749.999999993</v>
      </c>
      <c r="C200" s="2">
        <v>17255000</v>
      </c>
      <c r="D200" s="2">
        <f ca="1"/>
        <v>66815749.999999993</v>
      </c>
      <c r="E200" s="2">
        <v>34510000</v>
      </c>
    </row>
    <row r="201" spans="1:5" x14ac:dyDescent="0.25">
      <c r="A201" s="3">
        <v>204</v>
      </c>
      <c r="B201" s="2">
        <f ca="1"/>
        <v>49880999.999999993</v>
      </c>
      <c r="C201" s="2">
        <v>17340000</v>
      </c>
      <c r="D201" s="2">
        <f ca="1"/>
        <v>67221000</v>
      </c>
      <c r="E201" s="2">
        <v>34680000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lương</vt:lpstr>
      <vt:lpstr>tính toán thêm</vt:lpstr>
      <vt:lpstr>viz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 Do</cp:lastModifiedBy>
  <dcterms:created xsi:type="dcterms:W3CDTF">2025-11-14T16:48:53Z</dcterms:created>
  <dcterms:modified xsi:type="dcterms:W3CDTF">2025-11-15T16:47:18Z</dcterms:modified>
</cp:coreProperties>
</file>